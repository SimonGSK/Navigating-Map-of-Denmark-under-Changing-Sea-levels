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9_{3A45ECD5-FC1C-8242-8B9B-BE252ECF5F29}" xr6:coauthVersionLast="47" xr6:coauthVersionMax="47" xr10:uidLastSave="{00000000-0000-0000-0000-000000000000}"/>
  <bookViews>
    <workbookView xWindow="0" yWindow="660" windowWidth="34560" windowHeight="20920" activeTab="2" xr2:uid="{66A50579-5671-FC41-A477-9AFB91C2DB47}"/>
  </bookViews>
  <sheets>
    <sheet name="tree-scaling-viewport-w-specs_d" sheetId="1" r:id="rId1"/>
    <sheet name="total-nodes_visited-nodes_ratio" sheetId="2" r:id="rId2"/>
    <sheet name="query-spe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5" i="3"/>
  <c r="I4" i="3"/>
  <c r="I3" i="3"/>
  <c r="I2" i="3"/>
  <c r="H6" i="3"/>
  <c r="H5" i="3"/>
  <c r="H4" i="3"/>
  <c r="H3" i="3"/>
  <c r="H2" i="3"/>
  <c r="G6" i="3"/>
  <c r="G5" i="3"/>
  <c r="G4" i="3"/>
  <c r="G3" i="3"/>
  <c r="G2" i="3"/>
  <c r="F6" i="3"/>
  <c r="F5" i="3"/>
  <c r="F4" i="3"/>
  <c r="F3" i="3"/>
  <c r="F2" i="3"/>
  <c r="E6" i="3"/>
  <c r="E5" i="3"/>
  <c r="E4" i="3"/>
  <c r="E3" i="3"/>
  <c r="E2" i="3"/>
  <c r="D6" i="3"/>
  <c r="D5" i="3"/>
  <c r="D4" i="3"/>
  <c r="D3" i="3"/>
  <c r="D2" i="3"/>
  <c r="C6" i="3"/>
  <c r="C5" i="3"/>
  <c r="C4" i="3"/>
  <c r="C3" i="3"/>
  <c r="C2" i="3"/>
  <c r="B6" i="3"/>
  <c r="B5" i="3"/>
  <c r="B4" i="3"/>
  <c r="B3" i="3"/>
  <c r="B2" i="3"/>
  <c r="F9" i="2"/>
  <c r="F8" i="2"/>
  <c r="F7" i="2"/>
  <c r="F6" i="2"/>
  <c r="F5" i="2"/>
  <c r="F4" i="2"/>
  <c r="F3" i="2"/>
  <c r="F2" i="2"/>
  <c r="E9" i="2"/>
  <c r="E8" i="2"/>
  <c r="E7" i="2"/>
  <c r="E6" i="2"/>
  <c r="E5" i="2"/>
  <c r="E4" i="2"/>
  <c r="E3" i="2"/>
  <c r="E2" i="2"/>
  <c r="D9" i="2"/>
  <c r="D8" i="2"/>
  <c r="D7" i="2"/>
  <c r="D6" i="2"/>
  <c r="D5" i="2"/>
  <c r="D4" i="2"/>
  <c r="D3" i="2"/>
  <c r="D2" i="2"/>
  <c r="C9" i="2"/>
  <c r="C8" i="2"/>
  <c r="C7" i="2"/>
  <c r="C6" i="2"/>
  <c r="C5" i="2"/>
  <c r="C4" i="2"/>
  <c r="C3" i="2"/>
  <c r="C2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<sst xmlns="http://schemas.openxmlformats.org/spreadsheetml/2006/main" count="988" uniqueCount="29">
  <si>
    <t>Benchmark</t>
  </si>
  <si>
    <t>Mode</t>
  </si>
  <si>
    <t>Threads</t>
  </si>
  <si>
    <t>Samples</t>
  </si>
  <si>
    <t>Score</t>
  </si>
  <si>
    <t>Score Error (99.9%)</t>
  </si>
  <si>
    <t>Unit</t>
  </si>
  <si>
    <t>Param: MAX</t>
  </si>
  <si>
    <t>Param: ZOOM</t>
  </si>
  <si>
    <t>Param: viewport</t>
  </si>
  <si>
    <t>benchmark.TreeBenchmark.TreeScalingViewportBenchmark.search</t>
  </si>
  <si>
    <t>avgt</t>
  </si>
  <si>
    <t>ms/op</t>
  </si>
  <si>
    <t>ThreeHousesRoenne</t>
  </si>
  <si>
    <t>benchmark.TreeBenchmark.TreeScalingViewportBenchmark.search:depth</t>
  </si>
  <si>
    <t>NaN</t>
  </si>
  <si>
    <t>#</t>
  </si>
  <si>
    <t>benchmark.TreeBenchmark.TreeScalingViewportBenchmark.search:depth_nonAccTest</t>
  </si>
  <si>
    <t>benchmark.TreeBenchmark.TreeScalingViewportBenchmark.search:nodeCount</t>
  </si>
  <si>
    <t>benchmark.TreeBenchmark.TreeScalingViewportBenchmark.search:nodesVisited</t>
  </si>
  <si>
    <t>RoenneCity</t>
  </si>
  <si>
    <t>GreaterRoenne</t>
  </si>
  <si>
    <t>QuarterIslandCenterRoenne</t>
  </si>
  <si>
    <t>HalfIslandBottom</t>
  </si>
  <si>
    <t>FullIsland</t>
  </si>
  <si>
    <t>DueoddeLighthouse</t>
  </si>
  <si>
    <t>DueoddeLighthouseGreaterArea</t>
  </si>
  <si>
    <t>Viewport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</si>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</sst>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8A08-5409-0B4D-8EF6-CCDA2EEDB358}">
  <dimension ref="A1:J201"/>
  <sheetViews>
    <sheetView topLeftCell="A165" workbookViewId="0">
      <selection activeCell="E97" sqref="E97"/>
    </sheetView>
  </sheetViews>
  <sheetFormatPr baseColWidth="10" defaultRowHeight="16" x14ac:dyDescent="0.2"/>
  <cols>
    <col min="1" max="1" width="74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</v>
      </c>
      <c r="D2">
        <v>5</v>
      </c>
      <c r="E2">
        <v>3.4480000000000001E-3</v>
      </c>
      <c r="F2">
        <v>2.4000000000000001E-5</v>
      </c>
      <c r="G2" t="s">
        <v>12</v>
      </c>
      <c r="H2">
        <v>15</v>
      </c>
      <c r="I2">
        <v>30</v>
      </c>
      <c r="J2" t="s">
        <v>13</v>
      </c>
    </row>
    <row r="3" spans="1:10" x14ac:dyDescent="0.2">
      <c r="A3" t="s">
        <v>14</v>
      </c>
      <c r="B3" t="s">
        <v>11</v>
      </c>
      <c r="C3">
        <v>1</v>
      </c>
      <c r="D3">
        <v>5</v>
      </c>
      <c r="E3">
        <v>35</v>
      </c>
      <c r="F3" t="s">
        <v>15</v>
      </c>
      <c r="G3" t="s">
        <v>16</v>
      </c>
      <c r="H3">
        <v>15</v>
      </c>
      <c r="I3">
        <v>30</v>
      </c>
      <c r="J3" t="s">
        <v>13</v>
      </c>
    </row>
    <row r="4" spans="1:10" x14ac:dyDescent="0.2">
      <c r="A4" t="s">
        <v>17</v>
      </c>
      <c r="B4" t="s">
        <v>11</v>
      </c>
      <c r="C4">
        <v>1</v>
      </c>
      <c r="D4">
        <v>5</v>
      </c>
      <c r="E4">
        <v>35</v>
      </c>
      <c r="F4" t="s">
        <v>15</v>
      </c>
      <c r="G4" t="s">
        <v>16</v>
      </c>
      <c r="H4">
        <v>15</v>
      </c>
      <c r="I4">
        <v>30</v>
      </c>
      <c r="J4" t="s">
        <v>13</v>
      </c>
    </row>
    <row r="5" spans="1:10" x14ac:dyDescent="0.2">
      <c r="A5" t="s">
        <v>18</v>
      </c>
      <c r="B5" t="s">
        <v>11</v>
      </c>
      <c r="C5">
        <v>1</v>
      </c>
      <c r="D5">
        <v>5</v>
      </c>
      <c r="E5">
        <v>661105</v>
      </c>
      <c r="F5" t="s">
        <v>15</v>
      </c>
      <c r="G5" t="s">
        <v>16</v>
      </c>
      <c r="H5">
        <v>15</v>
      </c>
      <c r="I5">
        <v>30</v>
      </c>
      <c r="J5" t="s">
        <v>13</v>
      </c>
    </row>
    <row r="6" spans="1:10" x14ac:dyDescent="0.2">
      <c r="A6" t="s">
        <v>19</v>
      </c>
      <c r="B6" t="s">
        <v>11</v>
      </c>
      <c r="C6">
        <v>1</v>
      </c>
      <c r="D6">
        <v>5</v>
      </c>
      <c r="E6">
        <v>375</v>
      </c>
      <c r="F6" t="s">
        <v>15</v>
      </c>
      <c r="G6" t="s">
        <v>16</v>
      </c>
      <c r="H6">
        <v>15</v>
      </c>
      <c r="I6">
        <v>30</v>
      </c>
      <c r="J6" t="s">
        <v>13</v>
      </c>
    </row>
    <row r="7" spans="1:10" x14ac:dyDescent="0.2">
      <c r="A7" t="s">
        <v>10</v>
      </c>
      <c r="B7" t="s">
        <v>11</v>
      </c>
      <c r="C7">
        <v>1</v>
      </c>
      <c r="D7">
        <v>5</v>
      </c>
      <c r="E7">
        <v>4.9604799999999996</v>
      </c>
      <c r="F7">
        <v>0.44464100000000001</v>
      </c>
      <c r="G7" t="s">
        <v>12</v>
      </c>
      <c r="H7">
        <v>15</v>
      </c>
      <c r="I7">
        <v>30</v>
      </c>
      <c r="J7" t="s">
        <v>20</v>
      </c>
    </row>
    <row r="8" spans="1:10" x14ac:dyDescent="0.2">
      <c r="A8" t="s">
        <v>14</v>
      </c>
      <c r="B8" t="s">
        <v>11</v>
      </c>
      <c r="C8">
        <v>1</v>
      </c>
      <c r="D8">
        <v>5</v>
      </c>
      <c r="E8">
        <v>35</v>
      </c>
      <c r="F8" t="s">
        <v>15</v>
      </c>
      <c r="G8" t="s">
        <v>16</v>
      </c>
      <c r="H8">
        <v>15</v>
      </c>
      <c r="I8">
        <v>30</v>
      </c>
      <c r="J8" t="s">
        <v>20</v>
      </c>
    </row>
    <row r="9" spans="1:10" x14ac:dyDescent="0.2">
      <c r="A9" t="s">
        <v>17</v>
      </c>
      <c r="B9" t="s">
        <v>11</v>
      </c>
      <c r="C9">
        <v>1</v>
      </c>
      <c r="D9">
        <v>5</v>
      </c>
      <c r="E9">
        <v>35</v>
      </c>
      <c r="F9" t="s">
        <v>15</v>
      </c>
      <c r="G9" t="s">
        <v>16</v>
      </c>
      <c r="H9">
        <v>15</v>
      </c>
      <c r="I9">
        <v>30</v>
      </c>
      <c r="J9" t="s">
        <v>20</v>
      </c>
    </row>
    <row r="10" spans="1:10" x14ac:dyDescent="0.2">
      <c r="A10" t="s">
        <v>18</v>
      </c>
      <c r="B10" t="s">
        <v>11</v>
      </c>
      <c r="C10">
        <v>1</v>
      </c>
      <c r="D10">
        <v>5</v>
      </c>
      <c r="E10">
        <v>661105</v>
      </c>
      <c r="F10" t="s">
        <v>15</v>
      </c>
      <c r="G10" t="s">
        <v>16</v>
      </c>
      <c r="H10">
        <v>15</v>
      </c>
      <c r="I10">
        <v>30</v>
      </c>
      <c r="J10" t="s">
        <v>20</v>
      </c>
    </row>
    <row r="11" spans="1:10" x14ac:dyDescent="0.2">
      <c r="A11" t="s">
        <v>19</v>
      </c>
      <c r="B11" t="s">
        <v>11</v>
      </c>
      <c r="C11">
        <v>1</v>
      </c>
      <c r="D11">
        <v>5</v>
      </c>
      <c r="E11">
        <v>45625</v>
      </c>
      <c r="F11" t="s">
        <v>15</v>
      </c>
      <c r="G11" t="s">
        <v>16</v>
      </c>
      <c r="H11">
        <v>15</v>
      </c>
      <c r="I11">
        <v>30</v>
      </c>
      <c r="J11" t="s">
        <v>20</v>
      </c>
    </row>
    <row r="12" spans="1:10" x14ac:dyDescent="0.2">
      <c r="A12" t="s">
        <v>10</v>
      </c>
      <c r="B12" t="s">
        <v>11</v>
      </c>
      <c r="C12">
        <v>1</v>
      </c>
      <c r="D12">
        <v>5</v>
      </c>
      <c r="E12">
        <v>14.570232000000001</v>
      </c>
      <c r="F12">
        <v>1.3675520000000001</v>
      </c>
      <c r="G12" t="s">
        <v>12</v>
      </c>
      <c r="H12">
        <v>15</v>
      </c>
      <c r="I12">
        <v>30</v>
      </c>
      <c r="J12" t="s">
        <v>21</v>
      </c>
    </row>
    <row r="13" spans="1:10" x14ac:dyDescent="0.2">
      <c r="A13" t="s">
        <v>14</v>
      </c>
      <c r="B13" t="s">
        <v>11</v>
      </c>
      <c r="C13">
        <v>1</v>
      </c>
      <c r="D13">
        <v>5</v>
      </c>
      <c r="E13">
        <v>35</v>
      </c>
      <c r="F13" t="s">
        <v>15</v>
      </c>
      <c r="G13" t="s">
        <v>16</v>
      </c>
      <c r="H13">
        <v>15</v>
      </c>
      <c r="I13">
        <v>30</v>
      </c>
      <c r="J13" t="s">
        <v>21</v>
      </c>
    </row>
    <row r="14" spans="1:10" x14ac:dyDescent="0.2">
      <c r="A14" t="s">
        <v>17</v>
      </c>
      <c r="B14" t="s">
        <v>11</v>
      </c>
      <c r="C14">
        <v>1</v>
      </c>
      <c r="D14">
        <v>5</v>
      </c>
      <c r="E14">
        <v>35</v>
      </c>
      <c r="F14" t="s">
        <v>15</v>
      </c>
      <c r="G14" t="s">
        <v>16</v>
      </c>
      <c r="H14">
        <v>15</v>
      </c>
      <c r="I14">
        <v>30</v>
      </c>
      <c r="J14" t="s">
        <v>21</v>
      </c>
    </row>
    <row r="15" spans="1:10" x14ac:dyDescent="0.2">
      <c r="A15" t="s">
        <v>18</v>
      </c>
      <c r="B15" t="s">
        <v>11</v>
      </c>
      <c r="C15">
        <v>1</v>
      </c>
      <c r="D15">
        <v>5</v>
      </c>
      <c r="E15">
        <v>661105</v>
      </c>
      <c r="F15" t="s">
        <v>15</v>
      </c>
      <c r="G15" t="s">
        <v>16</v>
      </c>
      <c r="H15">
        <v>15</v>
      </c>
      <c r="I15">
        <v>30</v>
      </c>
      <c r="J15" t="s">
        <v>21</v>
      </c>
    </row>
    <row r="16" spans="1:10" x14ac:dyDescent="0.2">
      <c r="A16" t="s">
        <v>19</v>
      </c>
      <c r="B16" t="s">
        <v>11</v>
      </c>
      <c r="C16">
        <v>1</v>
      </c>
      <c r="D16">
        <v>5</v>
      </c>
      <c r="E16">
        <v>152895</v>
      </c>
      <c r="F16" t="s">
        <v>15</v>
      </c>
      <c r="G16" t="s">
        <v>16</v>
      </c>
      <c r="H16">
        <v>15</v>
      </c>
      <c r="I16">
        <v>30</v>
      </c>
      <c r="J16" t="s">
        <v>21</v>
      </c>
    </row>
    <row r="17" spans="1:10" x14ac:dyDescent="0.2">
      <c r="A17" t="s">
        <v>10</v>
      </c>
      <c r="B17" t="s">
        <v>11</v>
      </c>
      <c r="C17">
        <v>1</v>
      </c>
      <c r="D17">
        <v>5</v>
      </c>
      <c r="E17">
        <v>20.507624</v>
      </c>
      <c r="F17">
        <v>1.9785550000000001</v>
      </c>
      <c r="G17" t="s">
        <v>12</v>
      </c>
      <c r="H17">
        <v>15</v>
      </c>
      <c r="I17">
        <v>30</v>
      </c>
      <c r="J17" t="s">
        <v>22</v>
      </c>
    </row>
    <row r="18" spans="1:10" x14ac:dyDescent="0.2">
      <c r="A18" t="s">
        <v>14</v>
      </c>
      <c r="B18" t="s">
        <v>11</v>
      </c>
      <c r="C18">
        <v>1</v>
      </c>
      <c r="D18">
        <v>5</v>
      </c>
      <c r="E18">
        <v>35</v>
      </c>
      <c r="F18" t="s">
        <v>15</v>
      </c>
      <c r="G18" t="s">
        <v>16</v>
      </c>
      <c r="H18">
        <v>15</v>
      </c>
      <c r="I18">
        <v>30</v>
      </c>
      <c r="J18" t="s">
        <v>22</v>
      </c>
    </row>
    <row r="19" spans="1:10" x14ac:dyDescent="0.2">
      <c r="A19" t="s">
        <v>17</v>
      </c>
      <c r="B19" t="s">
        <v>11</v>
      </c>
      <c r="C19">
        <v>1</v>
      </c>
      <c r="D19">
        <v>5</v>
      </c>
      <c r="E19">
        <v>35</v>
      </c>
      <c r="F19" t="s">
        <v>15</v>
      </c>
      <c r="G19" t="s">
        <v>16</v>
      </c>
      <c r="H19">
        <v>15</v>
      </c>
      <c r="I19">
        <v>30</v>
      </c>
      <c r="J19" t="s">
        <v>22</v>
      </c>
    </row>
    <row r="20" spans="1:10" x14ac:dyDescent="0.2">
      <c r="A20" t="s">
        <v>18</v>
      </c>
      <c r="B20" t="s">
        <v>11</v>
      </c>
      <c r="C20">
        <v>1</v>
      </c>
      <c r="D20">
        <v>5</v>
      </c>
      <c r="E20">
        <v>661105</v>
      </c>
      <c r="F20" t="s">
        <v>15</v>
      </c>
      <c r="G20" t="s">
        <v>16</v>
      </c>
      <c r="H20">
        <v>15</v>
      </c>
      <c r="I20">
        <v>30</v>
      </c>
      <c r="J20" t="s">
        <v>22</v>
      </c>
    </row>
    <row r="21" spans="1:10" x14ac:dyDescent="0.2">
      <c r="A21" t="s">
        <v>19</v>
      </c>
      <c r="B21" t="s">
        <v>11</v>
      </c>
      <c r="C21">
        <v>1</v>
      </c>
      <c r="D21">
        <v>5</v>
      </c>
      <c r="E21">
        <v>228360</v>
      </c>
      <c r="F21" t="s">
        <v>15</v>
      </c>
      <c r="G21" t="s">
        <v>16</v>
      </c>
      <c r="H21">
        <v>15</v>
      </c>
      <c r="I21">
        <v>30</v>
      </c>
      <c r="J21" t="s">
        <v>22</v>
      </c>
    </row>
    <row r="22" spans="1:10" x14ac:dyDescent="0.2">
      <c r="A22" t="s">
        <v>10</v>
      </c>
      <c r="B22" t="s">
        <v>11</v>
      </c>
      <c r="C22">
        <v>1</v>
      </c>
      <c r="D22">
        <v>5</v>
      </c>
      <c r="E22">
        <v>32.478005000000003</v>
      </c>
      <c r="F22">
        <v>3.365875</v>
      </c>
      <c r="G22" t="s">
        <v>12</v>
      </c>
      <c r="H22">
        <v>15</v>
      </c>
      <c r="I22">
        <v>30</v>
      </c>
      <c r="J22" t="s">
        <v>23</v>
      </c>
    </row>
    <row r="23" spans="1:10" x14ac:dyDescent="0.2">
      <c r="A23" t="s">
        <v>14</v>
      </c>
      <c r="B23" t="s">
        <v>11</v>
      </c>
      <c r="C23">
        <v>1</v>
      </c>
      <c r="D23">
        <v>5</v>
      </c>
      <c r="E23">
        <v>35</v>
      </c>
      <c r="F23" t="s">
        <v>15</v>
      </c>
      <c r="G23" t="s">
        <v>16</v>
      </c>
      <c r="H23">
        <v>15</v>
      </c>
      <c r="I23">
        <v>30</v>
      </c>
      <c r="J23" t="s">
        <v>23</v>
      </c>
    </row>
    <row r="24" spans="1:10" x14ac:dyDescent="0.2">
      <c r="A24" t="s">
        <v>17</v>
      </c>
      <c r="B24" t="s">
        <v>11</v>
      </c>
      <c r="C24">
        <v>1</v>
      </c>
      <c r="D24">
        <v>5</v>
      </c>
      <c r="E24">
        <v>35</v>
      </c>
      <c r="F24" t="s">
        <v>15</v>
      </c>
      <c r="G24" t="s">
        <v>16</v>
      </c>
      <c r="H24">
        <v>15</v>
      </c>
      <c r="I24">
        <v>30</v>
      </c>
      <c r="J24" t="s">
        <v>23</v>
      </c>
    </row>
    <row r="25" spans="1:10" x14ac:dyDescent="0.2">
      <c r="A25" t="s">
        <v>18</v>
      </c>
      <c r="B25" t="s">
        <v>11</v>
      </c>
      <c r="C25">
        <v>1</v>
      </c>
      <c r="D25">
        <v>5</v>
      </c>
      <c r="E25">
        <v>661105</v>
      </c>
      <c r="F25" t="s">
        <v>15</v>
      </c>
      <c r="G25" t="s">
        <v>16</v>
      </c>
      <c r="H25">
        <v>15</v>
      </c>
      <c r="I25">
        <v>30</v>
      </c>
      <c r="J25" t="s">
        <v>23</v>
      </c>
    </row>
    <row r="26" spans="1:10" x14ac:dyDescent="0.2">
      <c r="A26" t="s">
        <v>19</v>
      </c>
      <c r="B26" t="s">
        <v>11</v>
      </c>
      <c r="C26">
        <v>1</v>
      </c>
      <c r="D26">
        <v>5</v>
      </c>
      <c r="E26">
        <v>346545</v>
      </c>
      <c r="F26" t="s">
        <v>15</v>
      </c>
      <c r="G26" t="s">
        <v>16</v>
      </c>
      <c r="H26">
        <v>15</v>
      </c>
      <c r="I26">
        <v>30</v>
      </c>
      <c r="J26" t="s">
        <v>23</v>
      </c>
    </row>
    <row r="27" spans="1:10" x14ac:dyDescent="0.2">
      <c r="A27" t="s">
        <v>10</v>
      </c>
      <c r="B27" t="s">
        <v>11</v>
      </c>
      <c r="C27">
        <v>1</v>
      </c>
      <c r="D27">
        <v>5</v>
      </c>
      <c r="E27">
        <v>61.478993000000003</v>
      </c>
      <c r="F27">
        <v>1.387248</v>
      </c>
      <c r="G27" t="s">
        <v>12</v>
      </c>
      <c r="H27">
        <v>15</v>
      </c>
      <c r="I27">
        <v>30</v>
      </c>
      <c r="J27" t="s">
        <v>24</v>
      </c>
    </row>
    <row r="28" spans="1:10" x14ac:dyDescent="0.2">
      <c r="A28" t="s">
        <v>14</v>
      </c>
      <c r="B28" t="s">
        <v>11</v>
      </c>
      <c r="C28">
        <v>1</v>
      </c>
      <c r="D28">
        <v>5</v>
      </c>
      <c r="E28">
        <v>35</v>
      </c>
      <c r="F28" t="s">
        <v>15</v>
      </c>
      <c r="G28" t="s">
        <v>16</v>
      </c>
      <c r="H28">
        <v>15</v>
      </c>
      <c r="I28">
        <v>30</v>
      </c>
      <c r="J28" t="s">
        <v>24</v>
      </c>
    </row>
    <row r="29" spans="1:10" x14ac:dyDescent="0.2">
      <c r="A29" t="s">
        <v>17</v>
      </c>
      <c r="B29" t="s">
        <v>11</v>
      </c>
      <c r="C29">
        <v>1</v>
      </c>
      <c r="D29">
        <v>5</v>
      </c>
      <c r="E29">
        <v>35</v>
      </c>
      <c r="F29" t="s">
        <v>15</v>
      </c>
      <c r="G29" t="s">
        <v>16</v>
      </c>
      <c r="H29">
        <v>15</v>
      </c>
      <c r="I29">
        <v>30</v>
      </c>
      <c r="J29" t="s">
        <v>24</v>
      </c>
    </row>
    <row r="30" spans="1:10" x14ac:dyDescent="0.2">
      <c r="A30" t="s">
        <v>18</v>
      </c>
      <c r="B30" t="s">
        <v>11</v>
      </c>
      <c r="C30">
        <v>1</v>
      </c>
      <c r="D30">
        <v>5</v>
      </c>
      <c r="E30">
        <v>661105</v>
      </c>
      <c r="F30" t="s">
        <v>15</v>
      </c>
      <c r="G30" t="s">
        <v>16</v>
      </c>
      <c r="H30">
        <v>15</v>
      </c>
      <c r="I30">
        <v>30</v>
      </c>
      <c r="J30" t="s">
        <v>24</v>
      </c>
    </row>
    <row r="31" spans="1:10" x14ac:dyDescent="0.2">
      <c r="A31" t="s">
        <v>19</v>
      </c>
      <c r="B31" t="s">
        <v>11</v>
      </c>
      <c r="C31">
        <v>1</v>
      </c>
      <c r="D31">
        <v>5</v>
      </c>
      <c r="E31">
        <v>660785</v>
      </c>
      <c r="F31" t="s">
        <v>15</v>
      </c>
      <c r="G31" t="s">
        <v>16</v>
      </c>
      <c r="H31">
        <v>15</v>
      </c>
      <c r="I31">
        <v>30</v>
      </c>
      <c r="J31" t="s">
        <v>24</v>
      </c>
    </row>
    <row r="32" spans="1:10" x14ac:dyDescent="0.2">
      <c r="A32" t="s">
        <v>10</v>
      </c>
      <c r="B32" t="s">
        <v>11</v>
      </c>
      <c r="C32">
        <v>1</v>
      </c>
      <c r="D32">
        <v>5</v>
      </c>
      <c r="E32">
        <v>3.0739999999999999E-3</v>
      </c>
      <c r="F32">
        <v>9.1000000000000003E-5</v>
      </c>
      <c r="G32" t="s">
        <v>12</v>
      </c>
      <c r="H32">
        <v>15</v>
      </c>
      <c r="I32">
        <v>30</v>
      </c>
      <c r="J32" t="s">
        <v>25</v>
      </c>
    </row>
    <row r="33" spans="1:10" x14ac:dyDescent="0.2">
      <c r="A33" t="s">
        <v>14</v>
      </c>
      <c r="B33" t="s">
        <v>11</v>
      </c>
      <c r="C33">
        <v>1</v>
      </c>
      <c r="D33">
        <v>5</v>
      </c>
      <c r="E33">
        <v>35</v>
      </c>
      <c r="F33" t="s">
        <v>15</v>
      </c>
      <c r="G33" t="s">
        <v>16</v>
      </c>
      <c r="H33">
        <v>15</v>
      </c>
      <c r="I33">
        <v>30</v>
      </c>
      <c r="J33" t="s">
        <v>25</v>
      </c>
    </row>
    <row r="34" spans="1:10" x14ac:dyDescent="0.2">
      <c r="A34" t="s">
        <v>17</v>
      </c>
      <c r="B34" t="s">
        <v>11</v>
      </c>
      <c r="C34">
        <v>1</v>
      </c>
      <c r="D34">
        <v>5</v>
      </c>
      <c r="E34">
        <v>35</v>
      </c>
      <c r="F34" t="s">
        <v>15</v>
      </c>
      <c r="G34" t="s">
        <v>16</v>
      </c>
      <c r="H34">
        <v>15</v>
      </c>
      <c r="I34">
        <v>30</v>
      </c>
      <c r="J34" t="s">
        <v>25</v>
      </c>
    </row>
    <row r="35" spans="1:10" x14ac:dyDescent="0.2">
      <c r="A35" t="s">
        <v>18</v>
      </c>
      <c r="B35" t="s">
        <v>11</v>
      </c>
      <c r="C35">
        <v>1</v>
      </c>
      <c r="D35">
        <v>5</v>
      </c>
      <c r="E35">
        <v>661105</v>
      </c>
      <c r="F35" t="s">
        <v>15</v>
      </c>
      <c r="G35" t="s">
        <v>16</v>
      </c>
      <c r="H35">
        <v>15</v>
      </c>
      <c r="I35">
        <v>30</v>
      </c>
      <c r="J35" t="s">
        <v>25</v>
      </c>
    </row>
    <row r="36" spans="1:10" x14ac:dyDescent="0.2">
      <c r="A36" t="s">
        <v>19</v>
      </c>
      <c r="B36" t="s">
        <v>11</v>
      </c>
      <c r="C36">
        <v>1</v>
      </c>
      <c r="D36">
        <v>5</v>
      </c>
      <c r="E36">
        <v>280</v>
      </c>
      <c r="F36" t="s">
        <v>15</v>
      </c>
      <c r="G36" t="s">
        <v>16</v>
      </c>
      <c r="H36">
        <v>15</v>
      </c>
      <c r="I36">
        <v>30</v>
      </c>
      <c r="J36" t="s">
        <v>25</v>
      </c>
    </row>
    <row r="37" spans="1:10" x14ac:dyDescent="0.2">
      <c r="A37" t="s">
        <v>10</v>
      </c>
      <c r="B37" t="s">
        <v>11</v>
      </c>
      <c r="C37">
        <v>1</v>
      </c>
      <c r="D37">
        <v>5</v>
      </c>
      <c r="E37">
        <v>2.0978940000000001</v>
      </c>
      <c r="F37">
        <v>0.37284099999999998</v>
      </c>
      <c r="G37" t="s">
        <v>12</v>
      </c>
      <c r="H37">
        <v>15</v>
      </c>
      <c r="I37">
        <v>30</v>
      </c>
      <c r="J37" t="s">
        <v>26</v>
      </c>
    </row>
    <row r="38" spans="1:10" x14ac:dyDescent="0.2">
      <c r="A38" t="s">
        <v>14</v>
      </c>
      <c r="B38" t="s">
        <v>11</v>
      </c>
      <c r="C38">
        <v>1</v>
      </c>
      <c r="D38">
        <v>5</v>
      </c>
      <c r="E38">
        <v>35</v>
      </c>
      <c r="F38" t="s">
        <v>15</v>
      </c>
      <c r="G38" t="s">
        <v>16</v>
      </c>
      <c r="H38">
        <v>15</v>
      </c>
      <c r="I38">
        <v>30</v>
      </c>
      <c r="J38" t="s">
        <v>26</v>
      </c>
    </row>
    <row r="39" spans="1:10" x14ac:dyDescent="0.2">
      <c r="A39" t="s">
        <v>17</v>
      </c>
      <c r="B39" t="s">
        <v>11</v>
      </c>
      <c r="C39">
        <v>1</v>
      </c>
      <c r="D39">
        <v>5</v>
      </c>
      <c r="E39">
        <v>35</v>
      </c>
      <c r="F39" t="s">
        <v>15</v>
      </c>
      <c r="G39" t="s">
        <v>16</v>
      </c>
      <c r="H39">
        <v>15</v>
      </c>
      <c r="I39">
        <v>30</v>
      </c>
      <c r="J39" t="s">
        <v>26</v>
      </c>
    </row>
    <row r="40" spans="1:10" x14ac:dyDescent="0.2">
      <c r="A40" t="s">
        <v>18</v>
      </c>
      <c r="B40" t="s">
        <v>11</v>
      </c>
      <c r="C40">
        <v>1</v>
      </c>
      <c r="D40">
        <v>5</v>
      </c>
      <c r="E40">
        <v>661105</v>
      </c>
      <c r="F40" t="s">
        <v>15</v>
      </c>
      <c r="G40" t="s">
        <v>16</v>
      </c>
      <c r="H40">
        <v>15</v>
      </c>
      <c r="I40">
        <v>30</v>
      </c>
      <c r="J40" t="s">
        <v>26</v>
      </c>
    </row>
    <row r="41" spans="1:10" x14ac:dyDescent="0.2">
      <c r="A41" t="s">
        <v>19</v>
      </c>
      <c r="B41" t="s">
        <v>11</v>
      </c>
      <c r="C41">
        <v>1</v>
      </c>
      <c r="D41">
        <v>5</v>
      </c>
      <c r="E41">
        <v>31815</v>
      </c>
      <c r="F41" t="s">
        <v>15</v>
      </c>
      <c r="G41" t="s">
        <v>16</v>
      </c>
      <c r="H41">
        <v>15</v>
      </c>
      <c r="I41">
        <v>30</v>
      </c>
      <c r="J41" t="s">
        <v>26</v>
      </c>
    </row>
    <row r="42" spans="1:10" x14ac:dyDescent="0.2">
      <c r="A42" t="s">
        <v>10</v>
      </c>
      <c r="B42" t="s">
        <v>11</v>
      </c>
      <c r="C42">
        <v>1</v>
      </c>
      <c r="D42">
        <v>5</v>
      </c>
      <c r="E42">
        <v>4.0419999999999996E-3</v>
      </c>
      <c r="F42">
        <v>1.9000000000000001E-4</v>
      </c>
      <c r="G42" t="s">
        <v>12</v>
      </c>
      <c r="H42">
        <v>30</v>
      </c>
      <c r="I42">
        <v>30</v>
      </c>
      <c r="J42" t="s">
        <v>13</v>
      </c>
    </row>
    <row r="43" spans="1:10" x14ac:dyDescent="0.2">
      <c r="A43" t="s">
        <v>14</v>
      </c>
      <c r="B43" t="s">
        <v>11</v>
      </c>
      <c r="C43">
        <v>1</v>
      </c>
      <c r="D43">
        <v>5</v>
      </c>
      <c r="E43">
        <v>25</v>
      </c>
      <c r="F43" t="s">
        <v>15</v>
      </c>
      <c r="G43" t="s">
        <v>16</v>
      </c>
      <c r="H43">
        <v>30</v>
      </c>
      <c r="I43">
        <v>30</v>
      </c>
      <c r="J43" t="s">
        <v>13</v>
      </c>
    </row>
    <row r="44" spans="1:10" x14ac:dyDescent="0.2">
      <c r="A44" t="s">
        <v>17</v>
      </c>
      <c r="B44" t="s">
        <v>11</v>
      </c>
      <c r="C44">
        <v>1</v>
      </c>
      <c r="D44">
        <v>5</v>
      </c>
      <c r="E44">
        <v>25</v>
      </c>
      <c r="F44" t="s">
        <v>15</v>
      </c>
      <c r="G44" t="s">
        <v>16</v>
      </c>
      <c r="H44">
        <v>30</v>
      </c>
      <c r="I44">
        <v>30</v>
      </c>
      <c r="J44" t="s">
        <v>13</v>
      </c>
    </row>
    <row r="45" spans="1:10" x14ac:dyDescent="0.2">
      <c r="A45" t="s">
        <v>18</v>
      </c>
      <c r="B45" t="s">
        <v>11</v>
      </c>
      <c r="C45">
        <v>1</v>
      </c>
      <c r="D45">
        <v>5</v>
      </c>
      <c r="E45">
        <v>304085</v>
      </c>
      <c r="F45" t="s">
        <v>15</v>
      </c>
      <c r="G45" t="s">
        <v>16</v>
      </c>
      <c r="H45">
        <v>30</v>
      </c>
      <c r="I45">
        <v>30</v>
      </c>
      <c r="J45" t="s">
        <v>13</v>
      </c>
    </row>
    <row r="46" spans="1:10" x14ac:dyDescent="0.2">
      <c r="A46" t="s">
        <v>19</v>
      </c>
      <c r="B46" t="s">
        <v>11</v>
      </c>
      <c r="C46">
        <v>1</v>
      </c>
      <c r="D46">
        <v>5</v>
      </c>
      <c r="E46">
        <v>235</v>
      </c>
      <c r="F46" t="s">
        <v>15</v>
      </c>
      <c r="G46" t="s">
        <v>16</v>
      </c>
      <c r="H46">
        <v>30</v>
      </c>
      <c r="I46">
        <v>30</v>
      </c>
      <c r="J46" t="s">
        <v>13</v>
      </c>
    </row>
    <row r="47" spans="1:10" x14ac:dyDescent="0.2">
      <c r="A47" t="s">
        <v>10</v>
      </c>
      <c r="B47" t="s">
        <v>11</v>
      </c>
      <c r="C47">
        <v>1</v>
      </c>
      <c r="D47">
        <v>5</v>
      </c>
      <c r="E47">
        <v>3.3895230000000001</v>
      </c>
      <c r="F47">
        <v>0.529277</v>
      </c>
      <c r="G47" t="s">
        <v>12</v>
      </c>
      <c r="H47">
        <v>30</v>
      </c>
      <c r="I47">
        <v>30</v>
      </c>
      <c r="J47" t="s">
        <v>20</v>
      </c>
    </row>
    <row r="48" spans="1:10" x14ac:dyDescent="0.2">
      <c r="A48" t="s">
        <v>14</v>
      </c>
      <c r="B48" t="s">
        <v>11</v>
      </c>
      <c r="C48">
        <v>1</v>
      </c>
      <c r="D48">
        <v>5</v>
      </c>
      <c r="E48">
        <v>25</v>
      </c>
      <c r="F48" t="s">
        <v>15</v>
      </c>
      <c r="G48" t="s">
        <v>16</v>
      </c>
      <c r="H48">
        <v>30</v>
      </c>
      <c r="I48">
        <v>30</v>
      </c>
      <c r="J48" t="s">
        <v>20</v>
      </c>
    </row>
    <row r="49" spans="1:10" x14ac:dyDescent="0.2">
      <c r="A49" t="s">
        <v>17</v>
      </c>
      <c r="B49" t="s">
        <v>11</v>
      </c>
      <c r="C49">
        <v>1</v>
      </c>
      <c r="D49">
        <v>5</v>
      </c>
      <c r="E49">
        <v>25</v>
      </c>
      <c r="F49" t="s">
        <v>15</v>
      </c>
      <c r="G49" t="s">
        <v>16</v>
      </c>
      <c r="H49">
        <v>30</v>
      </c>
      <c r="I49">
        <v>30</v>
      </c>
      <c r="J49" t="s">
        <v>20</v>
      </c>
    </row>
    <row r="50" spans="1:10" x14ac:dyDescent="0.2">
      <c r="A50" t="s">
        <v>18</v>
      </c>
      <c r="B50" t="s">
        <v>11</v>
      </c>
      <c r="C50">
        <v>1</v>
      </c>
      <c r="D50">
        <v>5</v>
      </c>
      <c r="E50">
        <v>304085</v>
      </c>
      <c r="F50" t="s">
        <v>15</v>
      </c>
      <c r="G50" t="s">
        <v>16</v>
      </c>
      <c r="H50">
        <v>30</v>
      </c>
      <c r="I50">
        <v>30</v>
      </c>
      <c r="J50" t="s">
        <v>20</v>
      </c>
    </row>
    <row r="51" spans="1:10" x14ac:dyDescent="0.2">
      <c r="A51" t="s">
        <v>19</v>
      </c>
      <c r="B51" t="s">
        <v>11</v>
      </c>
      <c r="C51">
        <v>1</v>
      </c>
      <c r="D51">
        <v>5</v>
      </c>
      <c r="E51">
        <v>21090</v>
      </c>
      <c r="F51" t="s">
        <v>15</v>
      </c>
      <c r="G51" t="s">
        <v>16</v>
      </c>
      <c r="H51">
        <v>30</v>
      </c>
      <c r="I51">
        <v>30</v>
      </c>
      <c r="J51" t="s">
        <v>20</v>
      </c>
    </row>
    <row r="52" spans="1:10" x14ac:dyDescent="0.2">
      <c r="A52" t="s">
        <v>10</v>
      </c>
      <c r="B52" t="s">
        <v>11</v>
      </c>
      <c r="C52">
        <v>1</v>
      </c>
      <c r="D52">
        <v>5</v>
      </c>
      <c r="E52">
        <v>13.448191</v>
      </c>
      <c r="F52">
        <v>1.6166860000000001</v>
      </c>
      <c r="G52" t="s">
        <v>12</v>
      </c>
      <c r="H52">
        <v>30</v>
      </c>
      <c r="I52">
        <v>30</v>
      </c>
      <c r="J52" t="s">
        <v>21</v>
      </c>
    </row>
    <row r="53" spans="1:10" x14ac:dyDescent="0.2">
      <c r="A53" t="s">
        <v>14</v>
      </c>
      <c r="B53" t="s">
        <v>11</v>
      </c>
      <c r="C53">
        <v>1</v>
      </c>
      <c r="D53">
        <v>5</v>
      </c>
      <c r="E53">
        <v>25</v>
      </c>
      <c r="F53" t="s">
        <v>15</v>
      </c>
      <c r="G53" t="s">
        <v>16</v>
      </c>
      <c r="H53">
        <v>30</v>
      </c>
      <c r="I53">
        <v>30</v>
      </c>
      <c r="J53" t="s">
        <v>21</v>
      </c>
    </row>
    <row r="54" spans="1:10" x14ac:dyDescent="0.2">
      <c r="A54" t="s">
        <v>17</v>
      </c>
      <c r="B54" t="s">
        <v>11</v>
      </c>
      <c r="C54">
        <v>1</v>
      </c>
      <c r="D54">
        <v>5</v>
      </c>
      <c r="E54">
        <v>25</v>
      </c>
      <c r="F54" t="s">
        <v>15</v>
      </c>
      <c r="G54" t="s">
        <v>16</v>
      </c>
      <c r="H54">
        <v>30</v>
      </c>
      <c r="I54">
        <v>30</v>
      </c>
      <c r="J54" t="s">
        <v>21</v>
      </c>
    </row>
    <row r="55" spans="1:10" x14ac:dyDescent="0.2">
      <c r="A55" t="s">
        <v>18</v>
      </c>
      <c r="B55" t="s">
        <v>11</v>
      </c>
      <c r="C55">
        <v>1</v>
      </c>
      <c r="D55">
        <v>5</v>
      </c>
      <c r="E55">
        <v>304085</v>
      </c>
      <c r="F55" t="s">
        <v>15</v>
      </c>
      <c r="G55" t="s">
        <v>16</v>
      </c>
      <c r="H55">
        <v>30</v>
      </c>
      <c r="I55">
        <v>30</v>
      </c>
      <c r="J55" t="s">
        <v>21</v>
      </c>
    </row>
    <row r="56" spans="1:10" x14ac:dyDescent="0.2">
      <c r="A56" t="s">
        <v>19</v>
      </c>
      <c r="B56" t="s">
        <v>11</v>
      </c>
      <c r="C56">
        <v>1</v>
      </c>
      <c r="D56">
        <v>5</v>
      </c>
      <c r="E56">
        <v>71465</v>
      </c>
      <c r="F56" t="s">
        <v>15</v>
      </c>
      <c r="G56" t="s">
        <v>16</v>
      </c>
      <c r="H56">
        <v>30</v>
      </c>
      <c r="I56">
        <v>30</v>
      </c>
      <c r="J56" t="s">
        <v>21</v>
      </c>
    </row>
    <row r="57" spans="1:10" x14ac:dyDescent="0.2">
      <c r="A57" t="s">
        <v>10</v>
      </c>
      <c r="B57" t="s">
        <v>11</v>
      </c>
      <c r="C57">
        <v>1</v>
      </c>
      <c r="D57">
        <v>5</v>
      </c>
      <c r="E57">
        <v>19.439578999999998</v>
      </c>
      <c r="F57">
        <v>0.246646</v>
      </c>
      <c r="G57" t="s">
        <v>12</v>
      </c>
      <c r="H57">
        <v>30</v>
      </c>
      <c r="I57">
        <v>30</v>
      </c>
      <c r="J57" t="s">
        <v>22</v>
      </c>
    </row>
    <row r="58" spans="1:10" x14ac:dyDescent="0.2">
      <c r="A58" t="s">
        <v>14</v>
      </c>
      <c r="B58" t="s">
        <v>11</v>
      </c>
      <c r="C58">
        <v>1</v>
      </c>
      <c r="D58">
        <v>5</v>
      </c>
      <c r="E58">
        <v>25</v>
      </c>
      <c r="F58" t="s">
        <v>15</v>
      </c>
      <c r="G58" t="s">
        <v>16</v>
      </c>
      <c r="H58">
        <v>30</v>
      </c>
      <c r="I58">
        <v>30</v>
      </c>
      <c r="J58" t="s">
        <v>22</v>
      </c>
    </row>
    <row r="59" spans="1:10" x14ac:dyDescent="0.2">
      <c r="A59" t="s">
        <v>17</v>
      </c>
      <c r="B59" t="s">
        <v>11</v>
      </c>
      <c r="C59">
        <v>1</v>
      </c>
      <c r="D59">
        <v>5</v>
      </c>
      <c r="E59">
        <v>25</v>
      </c>
      <c r="F59" t="s">
        <v>15</v>
      </c>
      <c r="G59" t="s">
        <v>16</v>
      </c>
      <c r="H59">
        <v>30</v>
      </c>
      <c r="I59">
        <v>30</v>
      </c>
      <c r="J59" t="s">
        <v>22</v>
      </c>
    </row>
    <row r="60" spans="1:10" x14ac:dyDescent="0.2">
      <c r="A60" t="s">
        <v>18</v>
      </c>
      <c r="B60" t="s">
        <v>11</v>
      </c>
      <c r="C60">
        <v>1</v>
      </c>
      <c r="D60">
        <v>5</v>
      </c>
      <c r="E60">
        <v>304085</v>
      </c>
      <c r="F60" t="s">
        <v>15</v>
      </c>
      <c r="G60" t="s">
        <v>16</v>
      </c>
      <c r="H60">
        <v>30</v>
      </c>
      <c r="I60">
        <v>30</v>
      </c>
      <c r="J60" t="s">
        <v>22</v>
      </c>
    </row>
    <row r="61" spans="1:10" x14ac:dyDescent="0.2">
      <c r="A61" t="s">
        <v>19</v>
      </c>
      <c r="B61" t="s">
        <v>11</v>
      </c>
      <c r="C61">
        <v>1</v>
      </c>
      <c r="D61">
        <v>5</v>
      </c>
      <c r="E61">
        <v>106410</v>
      </c>
      <c r="F61" t="s">
        <v>15</v>
      </c>
      <c r="G61" t="s">
        <v>16</v>
      </c>
      <c r="H61">
        <v>30</v>
      </c>
      <c r="I61">
        <v>30</v>
      </c>
      <c r="J61" t="s">
        <v>22</v>
      </c>
    </row>
    <row r="62" spans="1:10" x14ac:dyDescent="0.2">
      <c r="A62" t="s">
        <v>10</v>
      </c>
      <c r="B62" t="s">
        <v>11</v>
      </c>
      <c r="C62">
        <v>1</v>
      </c>
      <c r="D62">
        <v>5</v>
      </c>
      <c r="E62">
        <v>31.407342</v>
      </c>
      <c r="F62">
        <v>0.267677</v>
      </c>
      <c r="G62" t="s">
        <v>12</v>
      </c>
      <c r="H62">
        <v>30</v>
      </c>
      <c r="I62">
        <v>30</v>
      </c>
      <c r="J62" t="s">
        <v>23</v>
      </c>
    </row>
    <row r="63" spans="1:10" x14ac:dyDescent="0.2">
      <c r="A63" t="s">
        <v>14</v>
      </c>
      <c r="B63" t="s">
        <v>11</v>
      </c>
      <c r="C63">
        <v>1</v>
      </c>
      <c r="D63">
        <v>5</v>
      </c>
      <c r="E63">
        <v>25</v>
      </c>
      <c r="F63" t="s">
        <v>15</v>
      </c>
      <c r="G63" t="s">
        <v>16</v>
      </c>
      <c r="H63">
        <v>30</v>
      </c>
      <c r="I63">
        <v>30</v>
      </c>
      <c r="J63" t="s">
        <v>23</v>
      </c>
    </row>
    <row r="64" spans="1:10" x14ac:dyDescent="0.2">
      <c r="A64" t="s">
        <v>17</v>
      </c>
      <c r="B64" t="s">
        <v>11</v>
      </c>
      <c r="C64">
        <v>1</v>
      </c>
      <c r="D64">
        <v>5</v>
      </c>
      <c r="E64">
        <v>25</v>
      </c>
      <c r="F64" t="s">
        <v>15</v>
      </c>
      <c r="G64" t="s">
        <v>16</v>
      </c>
      <c r="H64">
        <v>30</v>
      </c>
      <c r="I64">
        <v>30</v>
      </c>
      <c r="J64" t="s">
        <v>23</v>
      </c>
    </row>
    <row r="65" spans="1:10" x14ac:dyDescent="0.2">
      <c r="A65" t="s">
        <v>18</v>
      </c>
      <c r="B65" t="s">
        <v>11</v>
      </c>
      <c r="C65">
        <v>1</v>
      </c>
      <c r="D65">
        <v>5</v>
      </c>
      <c r="E65">
        <v>304085</v>
      </c>
      <c r="F65" t="s">
        <v>15</v>
      </c>
      <c r="G65" t="s">
        <v>16</v>
      </c>
      <c r="H65">
        <v>30</v>
      </c>
      <c r="I65">
        <v>30</v>
      </c>
      <c r="J65" t="s">
        <v>23</v>
      </c>
    </row>
    <row r="66" spans="1:10" x14ac:dyDescent="0.2">
      <c r="A66" t="s">
        <v>19</v>
      </c>
      <c r="B66" t="s">
        <v>11</v>
      </c>
      <c r="C66">
        <v>1</v>
      </c>
      <c r="D66">
        <v>5</v>
      </c>
      <c r="E66">
        <v>160370</v>
      </c>
      <c r="F66" t="s">
        <v>15</v>
      </c>
      <c r="G66" t="s">
        <v>16</v>
      </c>
      <c r="H66">
        <v>30</v>
      </c>
      <c r="I66">
        <v>30</v>
      </c>
      <c r="J66" t="s">
        <v>23</v>
      </c>
    </row>
    <row r="67" spans="1:10" x14ac:dyDescent="0.2">
      <c r="A67" t="s">
        <v>10</v>
      </c>
      <c r="B67" t="s">
        <v>11</v>
      </c>
      <c r="C67">
        <v>1</v>
      </c>
      <c r="D67">
        <v>5</v>
      </c>
      <c r="E67">
        <v>56.348973999999998</v>
      </c>
      <c r="F67">
        <v>2.7167819999999998</v>
      </c>
      <c r="G67" t="s">
        <v>12</v>
      </c>
      <c r="H67">
        <v>30</v>
      </c>
      <c r="I67">
        <v>30</v>
      </c>
      <c r="J67" t="s">
        <v>24</v>
      </c>
    </row>
    <row r="68" spans="1:10" x14ac:dyDescent="0.2">
      <c r="A68" t="s">
        <v>14</v>
      </c>
      <c r="B68" t="s">
        <v>11</v>
      </c>
      <c r="C68">
        <v>1</v>
      </c>
      <c r="D68">
        <v>5</v>
      </c>
      <c r="E68">
        <v>25</v>
      </c>
      <c r="F68" t="s">
        <v>15</v>
      </c>
      <c r="G68" t="s">
        <v>16</v>
      </c>
      <c r="H68">
        <v>30</v>
      </c>
      <c r="I68">
        <v>30</v>
      </c>
      <c r="J68" t="s">
        <v>24</v>
      </c>
    </row>
    <row r="69" spans="1:10" x14ac:dyDescent="0.2">
      <c r="A69" t="s">
        <v>17</v>
      </c>
      <c r="B69" t="s">
        <v>11</v>
      </c>
      <c r="C69">
        <v>1</v>
      </c>
      <c r="D69">
        <v>5</v>
      </c>
      <c r="E69">
        <v>25</v>
      </c>
      <c r="F69" t="s">
        <v>15</v>
      </c>
      <c r="G69" t="s">
        <v>16</v>
      </c>
      <c r="H69">
        <v>30</v>
      </c>
      <c r="I69">
        <v>30</v>
      </c>
      <c r="J69" t="s">
        <v>24</v>
      </c>
    </row>
    <row r="70" spans="1:10" x14ac:dyDescent="0.2">
      <c r="A70" t="s">
        <v>18</v>
      </c>
      <c r="B70" t="s">
        <v>11</v>
      </c>
      <c r="C70">
        <v>1</v>
      </c>
      <c r="D70">
        <v>5</v>
      </c>
      <c r="E70">
        <v>304085</v>
      </c>
      <c r="F70" t="s">
        <v>15</v>
      </c>
      <c r="G70" t="s">
        <v>16</v>
      </c>
      <c r="H70">
        <v>30</v>
      </c>
      <c r="I70">
        <v>30</v>
      </c>
      <c r="J70" t="s">
        <v>24</v>
      </c>
    </row>
    <row r="71" spans="1:10" x14ac:dyDescent="0.2">
      <c r="A71" t="s">
        <v>19</v>
      </c>
      <c r="B71" t="s">
        <v>11</v>
      </c>
      <c r="C71">
        <v>1</v>
      </c>
      <c r="D71">
        <v>5</v>
      </c>
      <c r="E71">
        <v>304050</v>
      </c>
      <c r="F71" t="s">
        <v>15</v>
      </c>
      <c r="G71" t="s">
        <v>16</v>
      </c>
      <c r="H71">
        <v>30</v>
      </c>
      <c r="I71">
        <v>30</v>
      </c>
      <c r="J71" t="s">
        <v>24</v>
      </c>
    </row>
    <row r="72" spans="1:10" x14ac:dyDescent="0.2">
      <c r="A72" t="s">
        <v>10</v>
      </c>
      <c r="B72" t="s">
        <v>11</v>
      </c>
      <c r="C72">
        <v>1</v>
      </c>
      <c r="D72">
        <v>5</v>
      </c>
      <c r="E72">
        <v>2.7179999999999999E-3</v>
      </c>
      <c r="F72">
        <v>8.3999999999999995E-5</v>
      </c>
      <c r="G72" t="s">
        <v>12</v>
      </c>
      <c r="H72">
        <v>30</v>
      </c>
      <c r="I72">
        <v>30</v>
      </c>
      <c r="J72" t="s">
        <v>25</v>
      </c>
    </row>
    <row r="73" spans="1:10" x14ac:dyDescent="0.2">
      <c r="A73" t="s">
        <v>14</v>
      </c>
      <c r="B73" t="s">
        <v>11</v>
      </c>
      <c r="C73">
        <v>1</v>
      </c>
      <c r="D73">
        <v>5</v>
      </c>
      <c r="E73">
        <v>25</v>
      </c>
      <c r="F73" t="s">
        <v>15</v>
      </c>
      <c r="G73" t="s">
        <v>16</v>
      </c>
      <c r="H73">
        <v>30</v>
      </c>
      <c r="I73">
        <v>30</v>
      </c>
      <c r="J73" t="s">
        <v>25</v>
      </c>
    </row>
    <row r="74" spans="1:10" x14ac:dyDescent="0.2">
      <c r="A74" t="s">
        <v>17</v>
      </c>
      <c r="B74" t="s">
        <v>11</v>
      </c>
      <c r="C74">
        <v>1</v>
      </c>
      <c r="D74">
        <v>5</v>
      </c>
      <c r="E74">
        <v>25</v>
      </c>
      <c r="F74" t="s">
        <v>15</v>
      </c>
      <c r="G74" t="s">
        <v>16</v>
      </c>
      <c r="H74">
        <v>30</v>
      </c>
      <c r="I74">
        <v>30</v>
      </c>
      <c r="J74" t="s">
        <v>25</v>
      </c>
    </row>
    <row r="75" spans="1:10" x14ac:dyDescent="0.2">
      <c r="A75" t="s">
        <v>18</v>
      </c>
      <c r="B75" t="s">
        <v>11</v>
      </c>
      <c r="C75">
        <v>1</v>
      </c>
      <c r="D75">
        <v>5</v>
      </c>
      <c r="E75">
        <v>304085</v>
      </c>
      <c r="F75" t="s">
        <v>15</v>
      </c>
      <c r="G75" t="s">
        <v>16</v>
      </c>
      <c r="H75">
        <v>30</v>
      </c>
      <c r="I75">
        <v>30</v>
      </c>
      <c r="J75" t="s">
        <v>25</v>
      </c>
    </row>
    <row r="76" spans="1:10" x14ac:dyDescent="0.2">
      <c r="A76" t="s">
        <v>19</v>
      </c>
      <c r="B76" t="s">
        <v>11</v>
      </c>
      <c r="C76">
        <v>1</v>
      </c>
      <c r="D76">
        <v>5</v>
      </c>
      <c r="E76">
        <v>135</v>
      </c>
      <c r="F76" t="s">
        <v>15</v>
      </c>
      <c r="G76" t="s">
        <v>16</v>
      </c>
      <c r="H76">
        <v>30</v>
      </c>
      <c r="I76">
        <v>30</v>
      </c>
      <c r="J76" t="s">
        <v>25</v>
      </c>
    </row>
    <row r="77" spans="1:10" x14ac:dyDescent="0.2">
      <c r="A77" t="s">
        <v>10</v>
      </c>
      <c r="B77" t="s">
        <v>11</v>
      </c>
      <c r="C77">
        <v>1</v>
      </c>
      <c r="D77">
        <v>5</v>
      </c>
      <c r="E77">
        <v>2.0980259999999999</v>
      </c>
      <c r="F77">
        <v>0.803284</v>
      </c>
      <c r="G77" t="s">
        <v>12</v>
      </c>
      <c r="H77">
        <v>30</v>
      </c>
      <c r="I77">
        <v>30</v>
      </c>
      <c r="J77" t="s">
        <v>26</v>
      </c>
    </row>
    <row r="78" spans="1:10" x14ac:dyDescent="0.2">
      <c r="A78" t="s">
        <v>14</v>
      </c>
      <c r="B78" t="s">
        <v>11</v>
      </c>
      <c r="C78">
        <v>1</v>
      </c>
      <c r="D78">
        <v>5</v>
      </c>
      <c r="E78">
        <v>25</v>
      </c>
      <c r="F78" t="s">
        <v>15</v>
      </c>
      <c r="G78" t="s">
        <v>16</v>
      </c>
      <c r="H78">
        <v>30</v>
      </c>
      <c r="I78">
        <v>30</v>
      </c>
      <c r="J78" t="s">
        <v>26</v>
      </c>
    </row>
    <row r="79" spans="1:10" x14ac:dyDescent="0.2">
      <c r="A79" t="s">
        <v>17</v>
      </c>
      <c r="B79" t="s">
        <v>11</v>
      </c>
      <c r="C79">
        <v>1</v>
      </c>
      <c r="D79">
        <v>5</v>
      </c>
      <c r="E79">
        <v>25</v>
      </c>
      <c r="F79" t="s">
        <v>15</v>
      </c>
      <c r="G79" t="s">
        <v>16</v>
      </c>
      <c r="H79">
        <v>30</v>
      </c>
      <c r="I79">
        <v>30</v>
      </c>
      <c r="J79" t="s">
        <v>26</v>
      </c>
    </row>
    <row r="80" spans="1:10" x14ac:dyDescent="0.2">
      <c r="A80" t="s">
        <v>18</v>
      </c>
      <c r="B80" t="s">
        <v>11</v>
      </c>
      <c r="C80">
        <v>1</v>
      </c>
      <c r="D80">
        <v>5</v>
      </c>
      <c r="E80">
        <v>304085</v>
      </c>
      <c r="F80" t="s">
        <v>15</v>
      </c>
      <c r="G80" t="s">
        <v>16</v>
      </c>
      <c r="H80">
        <v>30</v>
      </c>
      <c r="I80">
        <v>30</v>
      </c>
      <c r="J80" t="s">
        <v>26</v>
      </c>
    </row>
    <row r="81" spans="1:10" x14ac:dyDescent="0.2">
      <c r="A81" t="s">
        <v>19</v>
      </c>
      <c r="B81" t="s">
        <v>11</v>
      </c>
      <c r="C81">
        <v>1</v>
      </c>
      <c r="D81">
        <v>5</v>
      </c>
      <c r="E81">
        <v>14495</v>
      </c>
      <c r="F81" t="s">
        <v>15</v>
      </c>
      <c r="G81" t="s">
        <v>16</v>
      </c>
      <c r="H81">
        <v>30</v>
      </c>
      <c r="I81">
        <v>30</v>
      </c>
      <c r="J81" t="s">
        <v>26</v>
      </c>
    </row>
    <row r="82" spans="1:10" x14ac:dyDescent="0.2">
      <c r="A82" t="s">
        <v>10</v>
      </c>
      <c r="B82" t="s">
        <v>11</v>
      </c>
      <c r="C82">
        <v>1</v>
      </c>
      <c r="D82">
        <v>5</v>
      </c>
      <c r="E82">
        <v>5.0509999999999999E-3</v>
      </c>
      <c r="F82">
        <v>4.0000000000000003E-5</v>
      </c>
      <c r="G82" t="s">
        <v>12</v>
      </c>
      <c r="H82">
        <v>45</v>
      </c>
      <c r="I82">
        <v>30</v>
      </c>
      <c r="J82" t="s">
        <v>13</v>
      </c>
    </row>
    <row r="83" spans="1:10" x14ac:dyDescent="0.2">
      <c r="A83" t="s">
        <v>14</v>
      </c>
      <c r="B83" t="s">
        <v>11</v>
      </c>
      <c r="C83">
        <v>1</v>
      </c>
      <c r="D83">
        <v>5</v>
      </c>
      <c r="E83">
        <v>25</v>
      </c>
      <c r="F83" t="s">
        <v>15</v>
      </c>
      <c r="G83" t="s">
        <v>16</v>
      </c>
      <c r="H83">
        <v>45</v>
      </c>
      <c r="I83">
        <v>30</v>
      </c>
      <c r="J83" t="s">
        <v>13</v>
      </c>
    </row>
    <row r="84" spans="1:10" x14ac:dyDescent="0.2">
      <c r="A84" t="s">
        <v>17</v>
      </c>
      <c r="B84" t="s">
        <v>11</v>
      </c>
      <c r="C84">
        <v>1</v>
      </c>
      <c r="D84">
        <v>5</v>
      </c>
      <c r="E84">
        <v>25</v>
      </c>
      <c r="F84" t="s">
        <v>15</v>
      </c>
      <c r="G84" t="s">
        <v>16</v>
      </c>
      <c r="H84">
        <v>45</v>
      </c>
      <c r="I84">
        <v>30</v>
      </c>
      <c r="J84" t="s">
        <v>13</v>
      </c>
    </row>
    <row r="85" spans="1:10" x14ac:dyDescent="0.2">
      <c r="A85" t="s">
        <v>18</v>
      </c>
      <c r="B85" t="s">
        <v>11</v>
      </c>
      <c r="C85">
        <v>1</v>
      </c>
      <c r="D85">
        <v>5</v>
      </c>
      <c r="E85">
        <v>197535</v>
      </c>
      <c r="F85" t="s">
        <v>15</v>
      </c>
      <c r="G85" t="s">
        <v>16</v>
      </c>
      <c r="H85">
        <v>45</v>
      </c>
      <c r="I85">
        <v>30</v>
      </c>
      <c r="J85" t="s">
        <v>13</v>
      </c>
    </row>
    <row r="86" spans="1:10" x14ac:dyDescent="0.2">
      <c r="A86" t="s">
        <v>19</v>
      </c>
      <c r="B86" t="s">
        <v>11</v>
      </c>
      <c r="C86">
        <v>1</v>
      </c>
      <c r="D86">
        <v>5</v>
      </c>
      <c r="E86">
        <v>225</v>
      </c>
      <c r="F86" t="s">
        <v>15</v>
      </c>
      <c r="G86" t="s">
        <v>16</v>
      </c>
      <c r="H86">
        <v>45</v>
      </c>
      <c r="I86">
        <v>30</v>
      </c>
      <c r="J86" t="s">
        <v>13</v>
      </c>
    </row>
    <row r="87" spans="1:10" x14ac:dyDescent="0.2">
      <c r="A87" t="s">
        <v>10</v>
      </c>
      <c r="B87" t="s">
        <v>11</v>
      </c>
      <c r="C87">
        <v>1</v>
      </c>
      <c r="D87">
        <v>5</v>
      </c>
      <c r="E87">
        <v>3.650169</v>
      </c>
      <c r="F87">
        <v>0.98208700000000004</v>
      </c>
      <c r="G87" t="s">
        <v>12</v>
      </c>
      <c r="H87">
        <v>45</v>
      </c>
      <c r="I87">
        <v>30</v>
      </c>
      <c r="J87" t="s">
        <v>20</v>
      </c>
    </row>
    <row r="88" spans="1:10" x14ac:dyDescent="0.2">
      <c r="A88" t="s">
        <v>14</v>
      </c>
      <c r="B88" t="s">
        <v>11</v>
      </c>
      <c r="C88">
        <v>1</v>
      </c>
      <c r="D88">
        <v>5</v>
      </c>
      <c r="E88">
        <v>25</v>
      </c>
      <c r="F88" t="s">
        <v>15</v>
      </c>
      <c r="G88" t="s">
        <v>16</v>
      </c>
      <c r="H88">
        <v>45</v>
      </c>
      <c r="I88">
        <v>30</v>
      </c>
      <c r="J88" t="s">
        <v>20</v>
      </c>
    </row>
    <row r="89" spans="1:10" x14ac:dyDescent="0.2">
      <c r="A89" t="s">
        <v>17</v>
      </c>
      <c r="B89" t="s">
        <v>11</v>
      </c>
      <c r="C89">
        <v>1</v>
      </c>
      <c r="D89">
        <v>5</v>
      </c>
      <c r="E89">
        <v>25</v>
      </c>
      <c r="F89" t="s">
        <v>15</v>
      </c>
      <c r="G89" t="s">
        <v>16</v>
      </c>
      <c r="H89">
        <v>45</v>
      </c>
      <c r="I89">
        <v>30</v>
      </c>
      <c r="J89" t="s">
        <v>20</v>
      </c>
    </row>
    <row r="90" spans="1:10" x14ac:dyDescent="0.2">
      <c r="A90" t="s">
        <v>18</v>
      </c>
      <c r="B90" t="s">
        <v>11</v>
      </c>
      <c r="C90">
        <v>1</v>
      </c>
      <c r="D90">
        <v>5</v>
      </c>
      <c r="E90">
        <v>197535</v>
      </c>
      <c r="F90" t="s">
        <v>15</v>
      </c>
      <c r="G90" t="s">
        <v>16</v>
      </c>
      <c r="H90">
        <v>45</v>
      </c>
      <c r="I90">
        <v>30</v>
      </c>
      <c r="J90" t="s">
        <v>20</v>
      </c>
    </row>
    <row r="91" spans="1:10" x14ac:dyDescent="0.2">
      <c r="A91" t="s">
        <v>19</v>
      </c>
      <c r="B91" t="s">
        <v>11</v>
      </c>
      <c r="C91">
        <v>1</v>
      </c>
      <c r="D91">
        <v>5</v>
      </c>
      <c r="E91">
        <v>14205</v>
      </c>
      <c r="F91" t="s">
        <v>15</v>
      </c>
      <c r="G91" t="s">
        <v>16</v>
      </c>
      <c r="H91">
        <v>45</v>
      </c>
      <c r="I91">
        <v>30</v>
      </c>
      <c r="J91" t="s">
        <v>20</v>
      </c>
    </row>
    <row r="92" spans="1:10" x14ac:dyDescent="0.2">
      <c r="A92" t="s">
        <v>10</v>
      </c>
      <c r="B92" t="s">
        <v>11</v>
      </c>
      <c r="C92">
        <v>1</v>
      </c>
      <c r="D92">
        <v>5</v>
      </c>
      <c r="E92">
        <v>14.163603</v>
      </c>
      <c r="F92">
        <v>1.060854</v>
      </c>
      <c r="G92" t="s">
        <v>12</v>
      </c>
      <c r="H92">
        <v>45</v>
      </c>
      <c r="I92">
        <v>30</v>
      </c>
      <c r="J92" t="s">
        <v>21</v>
      </c>
    </row>
    <row r="93" spans="1:10" x14ac:dyDescent="0.2">
      <c r="A93" t="s">
        <v>14</v>
      </c>
      <c r="B93" t="s">
        <v>11</v>
      </c>
      <c r="C93">
        <v>1</v>
      </c>
      <c r="D93">
        <v>5</v>
      </c>
      <c r="E93">
        <v>25</v>
      </c>
      <c r="F93" t="s">
        <v>15</v>
      </c>
      <c r="G93" t="s">
        <v>16</v>
      </c>
      <c r="H93">
        <v>45</v>
      </c>
      <c r="I93">
        <v>30</v>
      </c>
      <c r="J93" t="s">
        <v>21</v>
      </c>
    </row>
    <row r="94" spans="1:10" x14ac:dyDescent="0.2">
      <c r="A94" t="s">
        <v>17</v>
      </c>
      <c r="B94" t="s">
        <v>11</v>
      </c>
      <c r="C94">
        <v>1</v>
      </c>
      <c r="D94">
        <v>5</v>
      </c>
      <c r="E94">
        <v>25</v>
      </c>
      <c r="F94" t="s">
        <v>15</v>
      </c>
      <c r="G94" t="s">
        <v>16</v>
      </c>
      <c r="H94">
        <v>45</v>
      </c>
      <c r="I94">
        <v>30</v>
      </c>
      <c r="J94" t="s">
        <v>21</v>
      </c>
    </row>
    <row r="95" spans="1:10" x14ac:dyDescent="0.2">
      <c r="A95" t="s">
        <v>18</v>
      </c>
      <c r="B95" t="s">
        <v>11</v>
      </c>
      <c r="C95">
        <v>1</v>
      </c>
      <c r="D95">
        <v>5</v>
      </c>
      <c r="E95">
        <v>197535</v>
      </c>
      <c r="F95" t="s">
        <v>15</v>
      </c>
      <c r="G95" t="s">
        <v>16</v>
      </c>
      <c r="H95">
        <v>45</v>
      </c>
      <c r="I95">
        <v>30</v>
      </c>
      <c r="J95" t="s">
        <v>21</v>
      </c>
    </row>
    <row r="96" spans="1:10" x14ac:dyDescent="0.2">
      <c r="A96" t="s">
        <v>19</v>
      </c>
      <c r="B96" t="s">
        <v>11</v>
      </c>
      <c r="C96">
        <v>1</v>
      </c>
      <c r="D96">
        <v>5</v>
      </c>
      <c r="E96">
        <v>46370</v>
      </c>
      <c r="F96" t="s">
        <v>15</v>
      </c>
      <c r="G96" t="s">
        <v>16</v>
      </c>
      <c r="H96">
        <v>45</v>
      </c>
      <c r="I96">
        <v>30</v>
      </c>
      <c r="J96" t="s">
        <v>21</v>
      </c>
    </row>
    <row r="97" spans="1:10" x14ac:dyDescent="0.2">
      <c r="A97" t="s">
        <v>10</v>
      </c>
      <c r="B97" t="s">
        <v>11</v>
      </c>
      <c r="C97">
        <v>1</v>
      </c>
      <c r="D97">
        <v>5</v>
      </c>
      <c r="E97">
        <v>20.180833</v>
      </c>
      <c r="F97">
        <v>0.52943700000000005</v>
      </c>
      <c r="G97" t="s">
        <v>12</v>
      </c>
      <c r="H97">
        <v>45</v>
      </c>
      <c r="I97">
        <v>30</v>
      </c>
      <c r="J97" t="s">
        <v>22</v>
      </c>
    </row>
    <row r="98" spans="1:10" x14ac:dyDescent="0.2">
      <c r="A98" t="s">
        <v>14</v>
      </c>
      <c r="B98" t="s">
        <v>11</v>
      </c>
      <c r="C98">
        <v>1</v>
      </c>
      <c r="D98">
        <v>5</v>
      </c>
      <c r="E98">
        <v>25</v>
      </c>
      <c r="F98" t="s">
        <v>15</v>
      </c>
      <c r="G98" t="s">
        <v>16</v>
      </c>
      <c r="H98">
        <v>45</v>
      </c>
      <c r="I98">
        <v>30</v>
      </c>
      <c r="J98" t="s">
        <v>22</v>
      </c>
    </row>
    <row r="99" spans="1:10" x14ac:dyDescent="0.2">
      <c r="A99" t="s">
        <v>17</v>
      </c>
      <c r="B99" t="s">
        <v>11</v>
      </c>
      <c r="C99">
        <v>1</v>
      </c>
      <c r="D99">
        <v>5</v>
      </c>
      <c r="E99">
        <v>25</v>
      </c>
      <c r="F99" t="s">
        <v>15</v>
      </c>
      <c r="G99" t="s">
        <v>16</v>
      </c>
      <c r="H99">
        <v>45</v>
      </c>
      <c r="I99">
        <v>30</v>
      </c>
      <c r="J99" t="s">
        <v>22</v>
      </c>
    </row>
    <row r="100" spans="1:10" x14ac:dyDescent="0.2">
      <c r="A100" t="s">
        <v>18</v>
      </c>
      <c r="B100" t="s">
        <v>11</v>
      </c>
      <c r="C100">
        <v>1</v>
      </c>
      <c r="D100">
        <v>5</v>
      </c>
      <c r="E100">
        <v>197535</v>
      </c>
      <c r="F100" t="s">
        <v>15</v>
      </c>
      <c r="G100" t="s">
        <v>16</v>
      </c>
      <c r="H100">
        <v>45</v>
      </c>
      <c r="I100">
        <v>30</v>
      </c>
      <c r="J100" t="s">
        <v>22</v>
      </c>
    </row>
    <row r="101" spans="1:10" x14ac:dyDescent="0.2">
      <c r="A101" t="s">
        <v>19</v>
      </c>
      <c r="B101" t="s">
        <v>11</v>
      </c>
      <c r="C101">
        <v>1</v>
      </c>
      <c r="D101">
        <v>5</v>
      </c>
      <c r="E101">
        <v>69280</v>
      </c>
      <c r="F101" t="s">
        <v>15</v>
      </c>
      <c r="G101" t="s">
        <v>16</v>
      </c>
      <c r="H101">
        <v>45</v>
      </c>
      <c r="I101">
        <v>30</v>
      </c>
      <c r="J101" t="s">
        <v>22</v>
      </c>
    </row>
    <row r="102" spans="1:10" x14ac:dyDescent="0.2">
      <c r="A102" t="s">
        <v>10</v>
      </c>
      <c r="B102" t="s">
        <v>11</v>
      </c>
      <c r="C102">
        <v>1</v>
      </c>
      <c r="D102">
        <v>5</v>
      </c>
      <c r="E102">
        <v>30.482887999999999</v>
      </c>
      <c r="F102">
        <v>1.2880339999999999</v>
      </c>
      <c r="G102" t="s">
        <v>12</v>
      </c>
      <c r="H102">
        <v>45</v>
      </c>
      <c r="I102">
        <v>30</v>
      </c>
      <c r="J102" t="s">
        <v>23</v>
      </c>
    </row>
    <row r="103" spans="1:10" x14ac:dyDescent="0.2">
      <c r="A103" t="s">
        <v>14</v>
      </c>
      <c r="B103" t="s">
        <v>11</v>
      </c>
      <c r="C103">
        <v>1</v>
      </c>
      <c r="D103">
        <v>5</v>
      </c>
      <c r="E103">
        <v>25</v>
      </c>
      <c r="F103" t="s">
        <v>15</v>
      </c>
      <c r="G103" t="s">
        <v>16</v>
      </c>
      <c r="H103">
        <v>45</v>
      </c>
      <c r="I103">
        <v>30</v>
      </c>
      <c r="J103" t="s">
        <v>23</v>
      </c>
    </row>
    <row r="104" spans="1:10" x14ac:dyDescent="0.2">
      <c r="A104" t="s">
        <v>17</v>
      </c>
      <c r="B104" t="s">
        <v>11</v>
      </c>
      <c r="C104">
        <v>1</v>
      </c>
      <c r="D104">
        <v>5</v>
      </c>
      <c r="E104">
        <v>25</v>
      </c>
      <c r="F104" t="s">
        <v>15</v>
      </c>
      <c r="G104" t="s">
        <v>16</v>
      </c>
      <c r="H104">
        <v>45</v>
      </c>
      <c r="I104">
        <v>30</v>
      </c>
      <c r="J104" t="s">
        <v>23</v>
      </c>
    </row>
    <row r="105" spans="1:10" x14ac:dyDescent="0.2">
      <c r="A105" t="s">
        <v>18</v>
      </c>
      <c r="B105" t="s">
        <v>11</v>
      </c>
      <c r="C105">
        <v>1</v>
      </c>
      <c r="D105">
        <v>5</v>
      </c>
      <c r="E105">
        <v>197535</v>
      </c>
      <c r="F105" t="s">
        <v>15</v>
      </c>
      <c r="G105" t="s">
        <v>16</v>
      </c>
      <c r="H105">
        <v>45</v>
      </c>
      <c r="I105">
        <v>30</v>
      </c>
      <c r="J105" t="s">
        <v>23</v>
      </c>
    </row>
    <row r="106" spans="1:10" x14ac:dyDescent="0.2">
      <c r="A106" t="s">
        <v>19</v>
      </c>
      <c r="B106" t="s">
        <v>11</v>
      </c>
      <c r="C106">
        <v>1</v>
      </c>
      <c r="D106">
        <v>5</v>
      </c>
      <c r="E106">
        <v>104345</v>
      </c>
      <c r="F106" t="s">
        <v>15</v>
      </c>
      <c r="G106" t="s">
        <v>16</v>
      </c>
      <c r="H106">
        <v>45</v>
      </c>
      <c r="I106">
        <v>30</v>
      </c>
      <c r="J106" t="s">
        <v>23</v>
      </c>
    </row>
    <row r="107" spans="1:10" x14ac:dyDescent="0.2">
      <c r="A107" t="s">
        <v>10</v>
      </c>
      <c r="B107" t="s">
        <v>11</v>
      </c>
      <c r="C107">
        <v>1</v>
      </c>
      <c r="D107">
        <v>5</v>
      </c>
      <c r="E107">
        <v>57.589694999999999</v>
      </c>
      <c r="F107">
        <v>3.8756930000000001</v>
      </c>
      <c r="G107" t="s">
        <v>12</v>
      </c>
      <c r="H107">
        <v>45</v>
      </c>
      <c r="I107">
        <v>30</v>
      </c>
      <c r="J107" t="s">
        <v>24</v>
      </c>
    </row>
    <row r="108" spans="1:10" x14ac:dyDescent="0.2">
      <c r="A108" t="s">
        <v>14</v>
      </c>
      <c r="B108" t="s">
        <v>11</v>
      </c>
      <c r="C108">
        <v>1</v>
      </c>
      <c r="D108">
        <v>5</v>
      </c>
      <c r="E108">
        <v>25</v>
      </c>
      <c r="F108" t="s">
        <v>15</v>
      </c>
      <c r="G108" t="s">
        <v>16</v>
      </c>
      <c r="H108">
        <v>45</v>
      </c>
      <c r="I108">
        <v>30</v>
      </c>
      <c r="J108" t="s">
        <v>24</v>
      </c>
    </row>
    <row r="109" spans="1:10" x14ac:dyDescent="0.2">
      <c r="A109" t="s">
        <v>17</v>
      </c>
      <c r="B109" t="s">
        <v>11</v>
      </c>
      <c r="C109">
        <v>1</v>
      </c>
      <c r="D109">
        <v>5</v>
      </c>
      <c r="E109">
        <v>25</v>
      </c>
      <c r="F109" t="s">
        <v>15</v>
      </c>
      <c r="G109" t="s">
        <v>16</v>
      </c>
      <c r="H109">
        <v>45</v>
      </c>
      <c r="I109">
        <v>30</v>
      </c>
      <c r="J109" t="s">
        <v>24</v>
      </c>
    </row>
    <row r="110" spans="1:10" x14ac:dyDescent="0.2">
      <c r="A110" t="s">
        <v>18</v>
      </c>
      <c r="B110" t="s">
        <v>11</v>
      </c>
      <c r="C110">
        <v>1</v>
      </c>
      <c r="D110">
        <v>5</v>
      </c>
      <c r="E110">
        <v>197535</v>
      </c>
      <c r="F110" t="s">
        <v>15</v>
      </c>
      <c r="G110" t="s">
        <v>16</v>
      </c>
      <c r="H110">
        <v>45</v>
      </c>
      <c r="I110">
        <v>30</v>
      </c>
      <c r="J110" t="s">
        <v>24</v>
      </c>
    </row>
    <row r="111" spans="1:10" x14ac:dyDescent="0.2">
      <c r="A111" t="s">
        <v>19</v>
      </c>
      <c r="B111" t="s">
        <v>11</v>
      </c>
      <c r="C111">
        <v>1</v>
      </c>
      <c r="D111">
        <v>5</v>
      </c>
      <c r="E111">
        <v>197515</v>
      </c>
      <c r="F111" t="s">
        <v>15</v>
      </c>
      <c r="G111" t="s">
        <v>16</v>
      </c>
      <c r="H111">
        <v>45</v>
      </c>
      <c r="I111">
        <v>30</v>
      </c>
      <c r="J111" t="s">
        <v>24</v>
      </c>
    </row>
    <row r="112" spans="1:10" x14ac:dyDescent="0.2">
      <c r="A112" t="s">
        <v>10</v>
      </c>
      <c r="B112" t="s">
        <v>11</v>
      </c>
      <c r="C112">
        <v>1</v>
      </c>
      <c r="D112">
        <v>5</v>
      </c>
      <c r="E112">
        <v>4.921E-3</v>
      </c>
      <c r="F112">
        <v>2.1800000000000001E-4</v>
      </c>
      <c r="G112" t="s">
        <v>12</v>
      </c>
      <c r="H112">
        <v>45</v>
      </c>
      <c r="I112">
        <v>30</v>
      </c>
      <c r="J112" t="s">
        <v>25</v>
      </c>
    </row>
    <row r="113" spans="1:10" x14ac:dyDescent="0.2">
      <c r="A113" t="s">
        <v>14</v>
      </c>
      <c r="B113" t="s">
        <v>11</v>
      </c>
      <c r="C113">
        <v>1</v>
      </c>
      <c r="D113">
        <v>5</v>
      </c>
      <c r="E113">
        <v>25</v>
      </c>
      <c r="F113" t="s">
        <v>15</v>
      </c>
      <c r="G113" t="s">
        <v>16</v>
      </c>
      <c r="H113">
        <v>45</v>
      </c>
      <c r="I113">
        <v>30</v>
      </c>
      <c r="J113" t="s">
        <v>25</v>
      </c>
    </row>
    <row r="114" spans="1:10" x14ac:dyDescent="0.2">
      <c r="A114" t="s">
        <v>17</v>
      </c>
      <c r="B114" t="s">
        <v>11</v>
      </c>
      <c r="C114">
        <v>1</v>
      </c>
      <c r="D114">
        <v>5</v>
      </c>
      <c r="E114">
        <v>25</v>
      </c>
      <c r="F114" t="s">
        <v>15</v>
      </c>
      <c r="G114" t="s">
        <v>16</v>
      </c>
      <c r="H114">
        <v>45</v>
      </c>
      <c r="I114">
        <v>30</v>
      </c>
      <c r="J114" t="s">
        <v>25</v>
      </c>
    </row>
    <row r="115" spans="1:10" x14ac:dyDescent="0.2">
      <c r="A115" t="s">
        <v>18</v>
      </c>
      <c r="B115" t="s">
        <v>11</v>
      </c>
      <c r="C115">
        <v>1</v>
      </c>
      <c r="D115">
        <v>5</v>
      </c>
      <c r="E115">
        <v>197535</v>
      </c>
      <c r="F115" t="s">
        <v>15</v>
      </c>
      <c r="G115" t="s">
        <v>16</v>
      </c>
      <c r="H115">
        <v>45</v>
      </c>
      <c r="I115">
        <v>30</v>
      </c>
      <c r="J115" t="s">
        <v>25</v>
      </c>
    </row>
    <row r="116" spans="1:10" x14ac:dyDescent="0.2">
      <c r="A116" t="s">
        <v>19</v>
      </c>
      <c r="B116" t="s">
        <v>11</v>
      </c>
      <c r="C116">
        <v>1</v>
      </c>
      <c r="D116">
        <v>5</v>
      </c>
      <c r="E116">
        <v>160</v>
      </c>
      <c r="F116" t="s">
        <v>15</v>
      </c>
      <c r="G116" t="s">
        <v>16</v>
      </c>
      <c r="H116">
        <v>45</v>
      </c>
      <c r="I116">
        <v>30</v>
      </c>
      <c r="J116" t="s">
        <v>25</v>
      </c>
    </row>
    <row r="117" spans="1:10" x14ac:dyDescent="0.2">
      <c r="A117" t="s">
        <v>10</v>
      </c>
      <c r="B117" t="s">
        <v>11</v>
      </c>
      <c r="C117">
        <v>1</v>
      </c>
      <c r="D117">
        <v>5</v>
      </c>
      <c r="E117">
        <v>2.2023269999999999</v>
      </c>
      <c r="F117">
        <v>0.38267899999999999</v>
      </c>
      <c r="G117" t="s">
        <v>12</v>
      </c>
      <c r="H117">
        <v>45</v>
      </c>
      <c r="I117">
        <v>30</v>
      </c>
      <c r="J117" t="s">
        <v>26</v>
      </c>
    </row>
    <row r="118" spans="1:10" x14ac:dyDescent="0.2">
      <c r="A118" t="s">
        <v>14</v>
      </c>
      <c r="B118" t="s">
        <v>11</v>
      </c>
      <c r="C118">
        <v>1</v>
      </c>
      <c r="D118">
        <v>5</v>
      </c>
      <c r="E118">
        <v>25</v>
      </c>
      <c r="F118" t="s">
        <v>15</v>
      </c>
      <c r="G118" t="s">
        <v>16</v>
      </c>
      <c r="H118">
        <v>45</v>
      </c>
      <c r="I118">
        <v>30</v>
      </c>
      <c r="J118" t="s">
        <v>26</v>
      </c>
    </row>
    <row r="119" spans="1:10" x14ac:dyDescent="0.2">
      <c r="A119" t="s">
        <v>17</v>
      </c>
      <c r="B119" t="s">
        <v>11</v>
      </c>
      <c r="C119">
        <v>1</v>
      </c>
      <c r="D119">
        <v>5</v>
      </c>
      <c r="E119">
        <v>25</v>
      </c>
      <c r="F119" t="s">
        <v>15</v>
      </c>
      <c r="G119" t="s">
        <v>16</v>
      </c>
      <c r="H119">
        <v>45</v>
      </c>
      <c r="I119">
        <v>30</v>
      </c>
      <c r="J119" t="s">
        <v>26</v>
      </c>
    </row>
    <row r="120" spans="1:10" x14ac:dyDescent="0.2">
      <c r="A120" t="s">
        <v>18</v>
      </c>
      <c r="B120" t="s">
        <v>11</v>
      </c>
      <c r="C120">
        <v>1</v>
      </c>
      <c r="D120">
        <v>5</v>
      </c>
      <c r="E120">
        <v>197535</v>
      </c>
      <c r="F120" t="s">
        <v>15</v>
      </c>
      <c r="G120" t="s">
        <v>16</v>
      </c>
      <c r="H120">
        <v>45</v>
      </c>
      <c r="I120">
        <v>30</v>
      </c>
      <c r="J120" t="s">
        <v>26</v>
      </c>
    </row>
    <row r="121" spans="1:10" x14ac:dyDescent="0.2">
      <c r="A121" t="s">
        <v>19</v>
      </c>
      <c r="B121" t="s">
        <v>11</v>
      </c>
      <c r="C121">
        <v>1</v>
      </c>
      <c r="D121">
        <v>5</v>
      </c>
      <c r="E121">
        <v>9735</v>
      </c>
      <c r="F121" t="s">
        <v>15</v>
      </c>
      <c r="G121" t="s">
        <v>16</v>
      </c>
      <c r="H121">
        <v>45</v>
      </c>
      <c r="I121">
        <v>30</v>
      </c>
      <c r="J121" t="s">
        <v>26</v>
      </c>
    </row>
    <row r="122" spans="1:10" x14ac:dyDescent="0.2">
      <c r="A122" t="s">
        <v>10</v>
      </c>
      <c r="B122" t="s">
        <v>11</v>
      </c>
      <c r="C122">
        <v>1</v>
      </c>
      <c r="D122">
        <v>5</v>
      </c>
      <c r="E122">
        <v>6.6059999999999999E-3</v>
      </c>
      <c r="F122">
        <v>1.9799999999999999E-4</v>
      </c>
      <c r="G122" t="s">
        <v>12</v>
      </c>
      <c r="H122">
        <v>60</v>
      </c>
      <c r="I122">
        <v>30</v>
      </c>
      <c r="J122" t="s">
        <v>13</v>
      </c>
    </row>
    <row r="123" spans="1:10" x14ac:dyDescent="0.2">
      <c r="A123" t="s">
        <v>14</v>
      </c>
      <c r="B123" t="s">
        <v>11</v>
      </c>
      <c r="C123">
        <v>1</v>
      </c>
      <c r="D123">
        <v>5</v>
      </c>
      <c r="E123">
        <v>20</v>
      </c>
      <c r="F123" t="s">
        <v>15</v>
      </c>
      <c r="G123" t="s">
        <v>16</v>
      </c>
      <c r="H123">
        <v>60</v>
      </c>
      <c r="I123">
        <v>30</v>
      </c>
      <c r="J123" t="s">
        <v>13</v>
      </c>
    </row>
    <row r="124" spans="1:10" x14ac:dyDescent="0.2">
      <c r="A124" t="s">
        <v>17</v>
      </c>
      <c r="B124" t="s">
        <v>11</v>
      </c>
      <c r="C124">
        <v>1</v>
      </c>
      <c r="D124">
        <v>5</v>
      </c>
      <c r="E124">
        <v>20</v>
      </c>
      <c r="F124" t="s">
        <v>15</v>
      </c>
      <c r="G124" t="s">
        <v>16</v>
      </c>
      <c r="H124">
        <v>60</v>
      </c>
      <c r="I124">
        <v>30</v>
      </c>
      <c r="J124" t="s">
        <v>13</v>
      </c>
    </row>
    <row r="125" spans="1:10" x14ac:dyDescent="0.2">
      <c r="A125" t="s">
        <v>18</v>
      </c>
      <c r="B125" t="s">
        <v>11</v>
      </c>
      <c r="C125">
        <v>1</v>
      </c>
      <c r="D125">
        <v>5</v>
      </c>
      <c r="E125">
        <v>148535</v>
      </c>
      <c r="F125" t="s">
        <v>15</v>
      </c>
      <c r="G125" t="s">
        <v>16</v>
      </c>
      <c r="H125">
        <v>60</v>
      </c>
      <c r="I125">
        <v>30</v>
      </c>
      <c r="J125" t="s">
        <v>13</v>
      </c>
    </row>
    <row r="126" spans="1:10" x14ac:dyDescent="0.2">
      <c r="A126" t="s">
        <v>19</v>
      </c>
      <c r="B126" t="s">
        <v>11</v>
      </c>
      <c r="C126">
        <v>1</v>
      </c>
      <c r="D126">
        <v>5</v>
      </c>
      <c r="E126">
        <v>155</v>
      </c>
      <c r="F126" t="s">
        <v>15</v>
      </c>
      <c r="G126" t="s">
        <v>16</v>
      </c>
      <c r="H126">
        <v>60</v>
      </c>
      <c r="I126">
        <v>30</v>
      </c>
      <c r="J126" t="s">
        <v>13</v>
      </c>
    </row>
    <row r="127" spans="1:10" x14ac:dyDescent="0.2">
      <c r="A127" t="s">
        <v>10</v>
      </c>
      <c r="B127" t="s">
        <v>11</v>
      </c>
      <c r="C127">
        <v>1</v>
      </c>
      <c r="D127">
        <v>5</v>
      </c>
      <c r="E127">
        <v>3.6874129999999998</v>
      </c>
      <c r="F127">
        <v>0.45921400000000001</v>
      </c>
      <c r="G127" t="s">
        <v>12</v>
      </c>
      <c r="H127">
        <v>60</v>
      </c>
      <c r="I127">
        <v>30</v>
      </c>
      <c r="J127" t="s">
        <v>20</v>
      </c>
    </row>
    <row r="128" spans="1:10" x14ac:dyDescent="0.2">
      <c r="A128" t="s">
        <v>14</v>
      </c>
      <c r="B128" t="s">
        <v>11</v>
      </c>
      <c r="C128">
        <v>1</v>
      </c>
      <c r="D128">
        <v>5</v>
      </c>
      <c r="E128">
        <v>20</v>
      </c>
      <c r="F128" t="s">
        <v>15</v>
      </c>
      <c r="G128" t="s">
        <v>16</v>
      </c>
      <c r="H128">
        <v>60</v>
      </c>
      <c r="I128">
        <v>30</v>
      </c>
      <c r="J128" t="s">
        <v>20</v>
      </c>
    </row>
    <row r="129" spans="1:10" x14ac:dyDescent="0.2">
      <c r="A129" t="s">
        <v>17</v>
      </c>
      <c r="B129" t="s">
        <v>11</v>
      </c>
      <c r="C129">
        <v>1</v>
      </c>
      <c r="D129">
        <v>5</v>
      </c>
      <c r="E129">
        <v>20</v>
      </c>
      <c r="F129" t="s">
        <v>15</v>
      </c>
      <c r="G129" t="s">
        <v>16</v>
      </c>
      <c r="H129">
        <v>60</v>
      </c>
      <c r="I129">
        <v>30</v>
      </c>
      <c r="J129" t="s">
        <v>20</v>
      </c>
    </row>
    <row r="130" spans="1:10" x14ac:dyDescent="0.2">
      <c r="A130" t="s">
        <v>18</v>
      </c>
      <c r="B130" t="s">
        <v>11</v>
      </c>
      <c r="C130">
        <v>1</v>
      </c>
      <c r="D130">
        <v>5</v>
      </c>
      <c r="E130">
        <v>148535</v>
      </c>
      <c r="F130" t="s">
        <v>15</v>
      </c>
      <c r="G130" t="s">
        <v>16</v>
      </c>
      <c r="H130">
        <v>60</v>
      </c>
      <c r="I130">
        <v>30</v>
      </c>
      <c r="J130" t="s">
        <v>20</v>
      </c>
    </row>
    <row r="131" spans="1:10" x14ac:dyDescent="0.2">
      <c r="A131" t="s">
        <v>19</v>
      </c>
      <c r="B131" t="s">
        <v>11</v>
      </c>
      <c r="C131">
        <v>1</v>
      </c>
      <c r="D131">
        <v>5</v>
      </c>
      <c r="E131">
        <v>10795</v>
      </c>
      <c r="F131" t="s">
        <v>15</v>
      </c>
      <c r="G131" t="s">
        <v>16</v>
      </c>
      <c r="H131">
        <v>60</v>
      </c>
      <c r="I131">
        <v>30</v>
      </c>
      <c r="J131" t="s">
        <v>20</v>
      </c>
    </row>
    <row r="132" spans="1:10" x14ac:dyDescent="0.2">
      <c r="A132" t="s">
        <v>10</v>
      </c>
      <c r="B132" t="s">
        <v>11</v>
      </c>
      <c r="C132">
        <v>1</v>
      </c>
      <c r="D132">
        <v>5</v>
      </c>
      <c r="E132">
        <v>13.816407</v>
      </c>
      <c r="F132">
        <v>1.60379</v>
      </c>
      <c r="G132" t="s">
        <v>12</v>
      </c>
      <c r="H132">
        <v>60</v>
      </c>
      <c r="I132">
        <v>30</v>
      </c>
      <c r="J132" t="s">
        <v>21</v>
      </c>
    </row>
    <row r="133" spans="1:10" x14ac:dyDescent="0.2">
      <c r="A133" t="s">
        <v>14</v>
      </c>
      <c r="B133" t="s">
        <v>11</v>
      </c>
      <c r="C133">
        <v>1</v>
      </c>
      <c r="D133">
        <v>5</v>
      </c>
      <c r="E133">
        <v>20</v>
      </c>
      <c r="F133" t="s">
        <v>15</v>
      </c>
      <c r="G133" t="s">
        <v>16</v>
      </c>
      <c r="H133">
        <v>60</v>
      </c>
      <c r="I133">
        <v>30</v>
      </c>
      <c r="J133" t="s">
        <v>21</v>
      </c>
    </row>
    <row r="134" spans="1:10" x14ac:dyDescent="0.2">
      <c r="A134" t="s">
        <v>17</v>
      </c>
      <c r="B134" t="s">
        <v>11</v>
      </c>
      <c r="C134">
        <v>1</v>
      </c>
      <c r="D134">
        <v>5</v>
      </c>
      <c r="E134">
        <v>20</v>
      </c>
      <c r="F134" t="s">
        <v>15</v>
      </c>
      <c r="G134" t="s">
        <v>16</v>
      </c>
      <c r="H134">
        <v>60</v>
      </c>
      <c r="I134">
        <v>30</v>
      </c>
      <c r="J134" t="s">
        <v>21</v>
      </c>
    </row>
    <row r="135" spans="1:10" x14ac:dyDescent="0.2">
      <c r="A135" t="s">
        <v>18</v>
      </c>
      <c r="B135" t="s">
        <v>11</v>
      </c>
      <c r="C135">
        <v>1</v>
      </c>
      <c r="D135">
        <v>5</v>
      </c>
      <c r="E135">
        <v>148535</v>
      </c>
      <c r="F135" t="s">
        <v>15</v>
      </c>
      <c r="G135" t="s">
        <v>16</v>
      </c>
      <c r="H135">
        <v>60</v>
      </c>
      <c r="I135">
        <v>30</v>
      </c>
      <c r="J135" t="s">
        <v>21</v>
      </c>
    </row>
    <row r="136" spans="1:10" x14ac:dyDescent="0.2">
      <c r="A136" t="s">
        <v>19</v>
      </c>
      <c r="B136" t="s">
        <v>11</v>
      </c>
      <c r="C136">
        <v>1</v>
      </c>
      <c r="D136">
        <v>5</v>
      </c>
      <c r="E136">
        <v>35585</v>
      </c>
      <c r="F136" t="s">
        <v>15</v>
      </c>
      <c r="G136" t="s">
        <v>16</v>
      </c>
      <c r="H136">
        <v>60</v>
      </c>
      <c r="I136">
        <v>30</v>
      </c>
      <c r="J136" t="s">
        <v>21</v>
      </c>
    </row>
    <row r="137" spans="1:10" x14ac:dyDescent="0.2">
      <c r="A137" t="s">
        <v>10</v>
      </c>
      <c r="B137" t="s">
        <v>11</v>
      </c>
      <c r="C137">
        <v>1</v>
      </c>
      <c r="D137">
        <v>5</v>
      </c>
      <c r="E137">
        <v>19.924925000000002</v>
      </c>
      <c r="F137">
        <v>2.3112680000000001</v>
      </c>
      <c r="G137" t="s">
        <v>12</v>
      </c>
      <c r="H137">
        <v>60</v>
      </c>
      <c r="I137">
        <v>30</v>
      </c>
      <c r="J137" t="s">
        <v>22</v>
      </c>
    </row>
    <row r="138" spans="1:10" x14ac:dyDescent="0.2">
      <c r="A138" t="s">
        <v>14</v>
      </c>
      <c r="B138" t="s">
        <v>11</v>
      </c>
      <c r="C138">
        <v>1</v>
      </c>
      <c r="D138">
        <v>5</v>
      </c>
      <c r="E138">
        <v>20</v>
      </c>
      <c r="F138" t="s">
        <v>15</v>
      </c>
      <c r="G138" t="s">
        <v>16</v>
      </c>
      <c r="H138">
        <v>60</v>
      </c>
      <c r="I138">
        <v>30</v>
      </c>
      <c r="J138" t="s">
        <v>22</v>
      </c>
    </row>
    <row r="139" spans="1:10" x14ac:dyDescent="0.2">
      <c r="A139" t="s">
        <v>17</v>
      </c>
      <c r="B139" t="s">
        <v>11</v>
      </c>
      <c r="C139">
        <v>1</v>
      </c>
      <c r="D139">
        <v>5</v>
      </c>
      <c r="E139">
        <v>20</v>
      </c>
      <c r="F139" t="s">
        <v>15</v>
      </c>
      <c r="G139" t="s">
        <v>16</v>
      </c>
      <c r="H139">
        <v>60</v>
      </c>
      <c r="I139">
        <v>30</v>
      </c>
      <c r="J139" t="s">
        <v>22</v>
      </c>
    </row>
    <row r="140" spans="1:10" x14ac:dyDescent="0.2">
      <c r="A140" t="s">
        <v>18</v>
      </c>
      <c r="B140" t="s">
        <v>11</v>
      </c>
      <c r="C140">
        <v>1</v>
      </c>
      <c r="D140">
        <v>5</v>
      </c>
      <c r="E140">
        <v>148535</v>
      </c>
      <c r="F140" t="s">
        <v>15</v>
      </c>
      <c r="G140" t="s">
        <v>16</v>
      </c>
      <c r="H140">
        <v>60</v>
      </c>
      <c r="I140">
        <v>30</v>
      </c>
      <c r="J140" t="s">
        <v>22</v>
      </c>
    </row>
    <row r="141" spans="1:10" x14ac:dyDescent="0.2">
      <c r="A141" t="s">
        <v>19</v>
      </c>
      <c r="B141" t="s">
        <v>11</v>
      </c>
      <c r="C141">
        <v>1</v>
      </c>
      <c r="D141">
        <v>5</v>
      </c>
      <c r="E141">
        <v>52255</v>
      </c>
      <c r="F141" t="s">
        <v>15</v>
      </c>
      <c r="G141" t="s">
        <v>16</v>
      </c>
      <c r="H141">
        <v>60</v>
      </c>
      <c r="I141">
        <v>30</v>
      </c>
      <c r="J141" t="s">
        <v>22</v>
      </c>
    </row>
    <row r="142" spans="1:10" x14ac:dyDescent="0.2">
      <c r="A142" t="s">
        <v>10</v>
      </c>
      <c r="B142" t="s">
        <v>11</v>
      </c>
      <c r="C142">
        <v>1</v>
      </c>
      <c r="D142">
        <v>5</v>
      </c>
      <c r="E142">
        <v>31.543392999999998</v>
      </c>
      <c r="F142">
        <v>3.163119</v>
      </c>
      <c r="G142" t="s">
        <v>12</v>
      </c>
      <c r="H142">
        <v>60</v>
      </c>
      <c r="I142">
        <v>30</v>
      </c>
      <c r="J142" t="s">
        <v>23</v>
      </c>
    </row>
    <row r="143" spans="1:10" x14ac:dyDescent="0.2">
      <c r="A143" t="s">
        <v>14</v>
      </c>
      <c r="B143" t="s">
        <v>11</v>
      </c>
      <c r="C143">
        <v>1</v>
      </c>
      <c r="D143">
        <v>5</v>
      </c>
      <c r="E143">
        <v>20</v>
      </c>
      <c r="F143" t="s">
        <v>15</v>
      </c>
      <c r="G143" t="s">
        <v>16</v>
      </c>
      <c r="H143">
        <v>60</v>
      </c>
      <c r="I143">
        <v>30</v>
      </c>
      <c r="J143" t="s">
        <v>23</v>
      </c>
    </row>
    <row r="144" spans="1:10" x14ac:dyDescent="0.2">
      <c r="A144" t="s">
        <v>17</v>
      </c>
      <c r="B144" t="s">
        <v>11</v>
      </c>
      <c r="C144">
        <v>1</v>
      </c>
      <c r="D144">
        <v>5</v>
      </c>
      <c r="E144">
        <v>20</v>
      </c>
      <c r="F144" t="s">
        <v>15</v>
      </c>
      <c r="G144" t="s">
        <v>16</v>
      </c>
      <c r="H144">
        <v>60</v>
      </c>
      <c r="I144">
        <v>30</v>
      </c>
      <c r="J144" t="s">
        <v>23</v>
      </c>
    </row>
    <row r="145" spans="1:10" x14ac:dyDescent="0.2">
      <c r="A145" t="s">
        <v>18</v>
      </c>
      <c r="B145" t="s">
        <v>11</v>
      </c>
      <c r="C145">
        <v>1</v>
      </c>
      <c r="D145">
        <v>5</v>
      </c>
      <c r="E145">
        <v>148535</v>
      </c>
      <c r="F145" t="s">
        <v>15</v>
      </c>
      <c r="G145" t="s">
        <v>16</v>
      </c>
      <c r="H145">
        <v>60</v>
      </c>
      <c r="I145">
        <v>30</v>
      </c>
      <c r="J145" t="s">
        <v>23</v>
      </c>
    </row>
    <row r="146" spans="1:10" x14ac:dyDescent="0.2">
      <c r="A146" t="s">
        <v>19</v>
      </c>
      <c r="B146" t="s">
        <v>11</v>
      </c>
      <c r="C146">
        <v>1</v>
      </c>
      <c r="D146">
        <v>5</v>
      </c>
      <c r="E146">
        <v>79420</v>
      </c>
      <c r="F146" t="s">
        <v>15</v>
      </c>
      <c r="G146" t="s">
        <v>16</v>
      </c>
      <c r="H146">
        <v>60</v>
      </c>
      <c r="I146">
        <v>30</v>
      </c>
      <c r="J146" t="s">
        <v>23</v>
      </c>
    </row>
    <row r="147" spans="1:10" x14ac:dyDescent="0.2">
      <c r="A147" t="s">
        <v>10</v>
      </c>
      <c r="B147" t="s">
        <v>11</v>
      </c>
      <c r="C147">
        <v>1</v>
      </c>
      <c r="D147">
        <v>5</v>
      </c>
      <c r="E147">
        <v>56.195179000000003</v>
      </c>
      <c r="F147">
        <v>6.9697639999999996</v>
      </c>
      <c r="G147" t="s">
        <v>12</v>
      </c>
      <c r="H147">
        <v>60</v>
      </c>
      <c r="I147">
        <v>30</v>
      </c>
      <c r="J147" t="s">
        <v>24</v>
      </c>
    </row>
    <row r="148" spans="1:10" x14ac:dyDescent="0.2">
      <c r="A148" t="s">
        <v>14</v>
      </c>
      <c r="B148" t="s">
        <v>11</v>
      </c>
      <c r="C148">
        <v>1</v>
      </c>
      <c r="D148">
        <v>5</v>
      </c>
      <c r="E148">
        <v>20</v>
      </c>
      <c r="F148" t="s">
        <v>15</v>
      </c>
      <c r="G148" t="s">
        <v>16</v>
      </c>
      <c r="H148">
        <v>60</v>
      </c>
      <c r="I148">
        <v>30</v>
      </c>
      <c r="J148" t="s">
        <v>24</v>
      </c>
    </row>
    <row r="149" spans="1:10" x14ac:dyDescent="0.2">
      <c r="A149" t="s">
        <v>17</v>
      </c>
      <c r="B149" t="s">
        <v>11</v>
      </c>
      <c r="C149">
        <v>1</v>
      </c>
      <c r="D149">
        <v>5</v>
      </c>
      <c r="E149">
        <v>20</v>
      </c>
      <c r="F149" t="s">
        <v>15</v>
      </c>
      <c r="G149" t="s">
        <v>16</v>
      </c>
      <c r="H149">
        <v>60</v>
      </c>
      <c r="I149">
        <v>30</v>
      </c>
      <c r="J149" t="s">
        <v>24</v>
      </c>
    </row>
    <row r="150" spans="1:10" x14ac:dyDescent="0.2">
      <c r="A150" t="s">
        <v>18</v>
      </c>
      <c r="B150" t="s">
        <v>11</v>
      </c>
      <c r="C150">
        <v>1</v>
      </c>
      <c r="D150">
        <v>5</v>
      </c>
      <c r="E150">
        <v>148535</v>
      </c>
      <c r="F150" t="s">
        <v>15</v>
      </c>
      <c r="G150" t="s">
        <v>16</v>
      </c>
      <c r="H150">
        <v>60</v>
      </c>
      <c r="I150">
        <v>30</v>
      </c>
      <c r="J150" t="s">
        <v>24</v>
      </c>
    </row>
    <row r="151" spans="1:10" x14ac:dyDescent="0.2">
      <c r="A151" t="s">
        <v>19</v>
      </c>
      <c r="B151" t="s">
        <v>11</v>
      </c>
      <c r="C151">
        <v>1</v>
      </c>
      <c r="D151">
        <v>5</v>
      </c>
      <c r="E151">
        <v>148510</v>
      </c>
      <c r="F151" t="s">
        <v>15</v>
      </c>
      <c r="G151" t="s">
        <v>16</v>
      </c>
      <c r="H151">
        <v>60</v>
      </c>
      <c r="I151">
        <v>30</v>
      </c>
      <c r="J151" t="s">
        <v>24</v>
      </c>
    </row>
    <row r="152" spans="1:10" x14ac:dyDescent="0.2">
      <c r="A152" t="s">
        <v>10</v>
      </c>
      <c r="B152" t="s">
        <v>11</v>
      </c>
      <c r="C152">
        <v>1</v>
      </c>
      <c r="D152">
        <v>5</v>
      </c>
      <c r="E152">
        <v>6.7780000000000002E-3</v>
      </c>
      <c r="F152">
        <v>3.77E-4</v>
      </c>
      <c r="G152" t="s">
        <v>12</v>
      </c>
      <c r="H152">
        <v>60</v>
      </c>
      <c r="I152">
        <v>30</v>
      </c>
      <c r="J152" t="s">
        <v>25</v>
      </c>
    </row>
    <row r="153" spans="1:10" x14ac:dyDescent="0.2">
      <c r="A153" t="s">
        <v>14</v>
      </c>
      <c r="B153" t="s">
        <v>11</v>
      </c>
      <c r="C153">
        <v>1</v>
      </c>
      <c r="D153">
        <v>5</v>
      </c>
      <c r="E153">
        <v>20</v>
      </c>
      <c r="F153" t="s">
        <v>15</v>
      </c>
      <c r="G153" t="s">
        <v>16</v>
      </c>
      <c r="H153">
        <v>60</v>
      </c>
      <c r="I153">
        <v>30</v>
      </c>
      <c r="J153" t="s">
        <v>25</v>
      </c>
    </row>
    <row r="154" spans="1:10" x14ac:dyDescent="0.2">
      <c r="A154" t="s">
        <v>17</v>
      </c>
      <c r="B154" t="s">
        <v>11</v>
      </c>
      <c r="C154">
        <v>1</v>
      </c>
      <c r="D154">
        <v>5</v>
      </c>
      <c r="E154">
        <v>20</v>
      </c>
      <c r="F154" t="s">
        <v>15</v>
      </c>
      <c r="G154" t="s">
        <v>16</v>
      </c>
      <c r="H154">
        <v>60</v>
      </c>
      <c r="I154">
        <v>30</v>
      </c>
      <c r="J154" t="s">
        <v>25</v>
      </c>
    </row>
    <row r="155" spans="1:10" x14ac:dyDescent="0.2">
      <c r="A155" t="s">
        <v>18</v>
      </c>
      <c r="B155" t="s">
        <v>11</v>
      </c>
      <c r="C155">
        <v>1</v>
      </c>
      <c r="D155">
        <v>5</v>
      </c>
      <c r="E155">
        <v>148535</v>
      </c>
      <c r="F155" t="s">
        <v>15</v>
      </c>
      <c r="G155" t="s">
        <v>16</v>
      </c>
      <c r="H155">
        <v>60</v>
      </c>
      <c r="I155">
        <v>30</v>
      </c>
      <c r="J155" t="s">
        <v>25</v>
      </c>
    </row>
    <row r="156" spans="1:10" x14ac:dyDescent="0.2">
      <c r="A156" t="s">
        <v>19</v>
      </c>
      <c r="B156" t="s">
        <v>11</v>
      </c>
      <c r="C156">
        <v>1</v>
      </c>
      <c r="D156">
        <v>5</v>
      </c>
      <c r="E156">
        <v>165</v>
      </c>
      <c r="F156" t="s">
        <v>15</v>
      </c>
      <c r="G156" t="s">
        <v>16</v>
      </c>
      <c r="H156">
        <v>60</v>
      </c>
      <c r="I156">
        <v>30</v>
      </c>
      <c r="J156" t="s">
        <v>25</v>
      </c>
    </row>
    <row r="157" spans="1:10" x14ac:dyDescent="0.2">
      <c r="A157" t="s">
        <v>10</v>
      </c>
      <c r="B157" t="s">
        <v>11</v>
      </c>
      <c r="C157">
        <v>1</v>
      </c>
      <c r="D157">
        <v>5</v>
      </c>
      <c r="E157">
        <v>2.256589</v>
      </c>
      <c r="F157">
        <v>0.56137800000000004</v>
      </c>
      <c r="G157" t="s">
        <v>12</v>
      </c>
      <c r="H157">
        <v>60</v>
      </c>
      <c r="I157">
        <v>30</v>
      </c>
      <c r="J157" t="s">
        <v>26</v>
      </c>
    </row>
    <row r="158" spans="1:10" x14ac:dyDescent="0.2">
      <c r="A158" t="s">
        <v>14</v>
      </c>
      <c r="B158" t="s">
        <v>11</v>
      </c>
      <c r="C158">
        <v>1</v>
      </c>
      <c r="D158">
        <v>5</v>
      </c>
      <c r="E158">
        <v>20</v>
      </c>
      <c r="F158" t="s">
        <v>15</v>
      </c>
      <c r="G158" t="s">
        <v>16</v>
      </c>
      <c r="H158">
        <v>60</v>
      </c>
      <c r="I158">
        <v>30</v>
      </c>
      <c r="J158" t="s">
        <v>26</v>
      </c>
    </row>
    <row r="159" spans="1:10" x14ac:dyDescent="0.2">
      <c r="A159" t="s">
        <v>17</v>
      </c>
      <c r="B159" t="s">
        <v>11</v>
      </c>
      <c r="C159">
        <v>1</v>
      </c>
      <c r="D159">
        <v>5</v>
      </c>
      <c r="E159">
        <v>20</v>
      </c>
      <c r="F159" t="s">
        <v>15</v>
      </c>
      <c r="G159" t="s">
        <v>16</v>
      </c>
      <c r="H159">
        <v>60</v>
      </c>
      <c r="I159">
        <v>30</v>
      </c>
      <c r="J159" t="s">
        <v>26</v>
      </c>
    </row>
    <row r="160" spans="1:10" x14ac:dyDescent="0.2">
      <c r="A160" t="s">
        <v>18</v>
      </c>
      <c r="B160" t="s">
        <v>11</v>
      </c>
      <c r="C160">
        <v>1</v>
      </c>
      <c r="D160">
        <v>5</v>
      </c>
      <c r="E160">
        <v>148535</v>
      </c>
      <c r="F160" t="s">
        <v>15</v>
      </c>
      <c r="G160" t="s">
        <v>16</v>
      </c>
      <c r="H160">
        <v>60</v>
      </c>
      <c r="I160">
        <v>30</v>
      </c>
      <c r="J160" t="s">
        <v>26</v>
      </c>
    </row>
    <row r="161" spans="1:10" x14ac:dyDescent="0.2">
      <c r="A161" t="s">
        <v>19</v>
      </c>
      <c r="B161" t="s">
        <v>11</v>
      </c>
      <c r="C161">
        <v>1</v>
      </c>
      <c r="D161">
        <v>5</v>
      </c>
      <c r="E161">
        <v>7575</v>
      </c>
      <c r="F161" t="s">
        <v>15</v>
      </c>
      <c r="G161" t="s">
        <v>16</v>
      </c>
      <c r="H161">
        <v>60</v>
      </c>
      <c r="I161">
        <v>30</v>
      </c>
      <c r="J161" t="s">
        <v>26</v>
      </c>
    </row>
    <row r="162" spans="1:10" x14ac:dyDescent="0.2">
      <c r="A162" t="s">
        <v>10</v>
      </c>
      <c r="B162" t="s">
        <v>11</v>
      </c>
      <c r="C162">
        <v>1</v>
      </c>
      <c r="D162">
        <v>5</v>
      </c>
      <c r="E162">
        <v>6.5469999999999999E-3</v>
      </c>
      <c r="F162">
        <v>1.66E-4</v>
      </c>
      <c r="G162" t="s">
        <v>12</v>
      </c>
      <c r="H162">
        <v>90</v>
      </c>
      <c r="I162">
        <v>30</v>
      </c>
      <c r="J162" t="s">
        <v>13</v>
      </c>
    </row>
    <row r="163" spans="1:10" x14ac:dyDescent="0.2">
      <c r="A163" t="s">
        <v>14</v>
      </c>
      <c r="B163" t="s">
        <v>11</v>
      </c>
      <c r="C163">
        <v>1</v>
      </c>
      <c r="D163">
        <v>5</v>
      </c>
      <c r="E163">
        <v>20</v>
      </c>
      <c r="F163" t="s">
        <v>15</v>
      </c>
      <c r="G163" t="s">
        <v>16</v>
      </c>
      <c r="H163">
        <v>90</v>
      </c>
      <c r="I163">
        <v>30</v>
      </c>
      <c r="J163" t="s">
        <v>13</v>
      </c>
    </row>
    <row r="164" spans="1:10" x14ac:dyDescent="0.2">
      <c r="A164" t="s">
        <v>17</v>
      </c>
      <c r="B164" t="s">
        <v>11</v>
      </c>
      <c r="C164">
        <v>1</v>
      </c>
      <c r="D164">
        <v>5</v>
      </c>
      <c r="E164">
        <v>20</v>
      </c>
      <c r="F164" t="s">
        <v>15</v>
      </c>
      <c r="G164" t="s">
        <v>16</v>
      </c>
      <c r="H164">
        <v>90</v>
      </c>
      <c r="I164">
        <v>30</v>
      </c>
      <c r="J164" t="s">
        <v>13</v>
      </c>
    </row>
    <row r="165" spans="1:10" x14ac:dyDescent="0.2">
      <c r="A165" t="s">
        <v>18</v>
      </c>
      <c r="B165" t="s">
        <v>11</v>
      </c>
      <c r="C165">
        <v>1</v>
      </c>
      <c r="D165">
        <v>5</v>
      </c>
      <c r="E165">
        <v>98690</v>
      </c>
      <c r="F165" t="s">
        <v>15</v>
      </c>
      <c r="G165" t="s">
        <v>16</v>
      </c>
      <c r="H165">
        <v>90</v>
      </c>
      <c r="I165">
        <v>30</v>
      </c>
      <c r="J165" t="s">
        <v>13</v>
      </c>
    </row>
    <row r="166" spans="1:10" x14ac:dyDescent="0.2">
      <c r="A166" t="s">
        <v>19</v>
      </c>
      <c r="B166" t="s">
        <v>11</v>
      </c>
      <c r="C166">
        <v>1</v>
      </c>
      <c r="D166">
        <v>5</v>
      </c>
      <c r="E166">
        <v>155</v>
      </c>
      <c r="F166" t="s">
        <v>15</v>
      </c>
      <c r="G166" t="s">
        <v>16</v>
      </c>
      <c r="H166">
        <v>90</v>
      </c>
      <c r="I166">
        <v>30</v>
      </c>
      <c r="J166" t="s">
        <v>13</v>
      </c>
    </row>
    <row r="167" spans="1:10" x14ac:dyDescent="0.2">
      <c r="A167" t="s">
        <v>10</v>
      </c>
      <c r="B167" t="s">
        <v>11</v>
      </c>
      <c r="C167">
        <v>1</v>
      </c>
      <c r="D167">
        <v>5</v>
      </c>
      <c r="E167">
        <v>3.9054280000000001</v>
      </c>
      <c r="F167">
        <v>0.70317600000000002</v>
      </c>
      <c r="G167" t="s">
        <v>12</v>
      </c>
      <c r="H167">
        <v>90</v>
      </c>
      <c r="I167">
        <v>30</v>
      </c>
      <c r="J167" t="s">
        <v>20</v>
      </c>
    </row>
    <row r="168" spans="1:10" x14ac:dyDescent="0.2">
      <c r="A168" t="s">
        <v>14</v>
      </c>
      <c r="B168" t="s">
        <v>11</v>
      </c>
      <c r="C168">
        <v>1</v>
      </c>
      <c r="D168">
        <v>5</v>
      </c>
      <c r="E168">
        <v>20</v>
      </c>
      <c r="F168" t="s">
        <v>15</v>
      </c>
      <c r="G168" t="s">
        <v>16</v>
      </c>
      <c r="H168">
        <v>90</v>
      </c>
      <c r="I168">
        <v>30</v>
      </c>
      <c r="J168" t="s">
        <v>20</v>
      </c>
    </row>
    <row r="169" spans="1:10" x14ac:dyDescent="0.2">
      <c r="A169" t="s">
        <v>17</v>
      </c>
      <c r="B169" t="s">
        <v>11</v>
      </c>
      <c r="C169">
        <v>1</v>
      </c>
      <c r="D169">
        <v>5</v>
      </c>
      <c r="E169">
        <v>20</v>
      </c>
      <c r="F169" t="s">
        <v>15</v>
      </c>
      <c r="G169" t="s">
        <v>16</v>
      </c>
      <c r="H169">
        <v>90</v>
      </c>
      <c r="I169">
        <v>30</v>
      </c>
      <c r="J169" t="s">
        <v>20</v>
      </c>
    </row>
    <row r="170" spans="1:10" x14ac:dyDescent="0.2">
      <c r="A170" t="s">
        <v>18</v>
      </c>
      <c r="B170" t="s">
        <v>11</v>
      </c>
      <c r="C170">
        <v>1</v>
      </c>
      <c r="D170">
        <v>5</v>
      </c>
      <c r="E170">
        <v>98690</v>
      </c>
      <c r="F170" t="s">
        <v>15</v>
      </c>
      <c r="G170" t="s">
        <v>16</v>
      </c>
      <c r="H170">
        <v>90</v>
      </c>
      <c r="I170">
        <v>30</v>
      </c>
      <c r="J170" t="s">
        <v>20</v>
      </c>
    </row>
    <row r="171" spans="1:10" x14ac:dyDescent="0.2">
      <c r="A171" t="s">
        <v>19</v>
      </c>
      <c r="B171" t="s">
        <v>11</v>
      </c>
      <c r="C171">
        <v>1</v>
      </c>
      <c r="D171">
        <v>5</v>
      </c>
      <c r="E171">
        <v>7630</v>
      </c>
      <c r="F171" t="s">
        <v>15</v>
      </c>
      <c r="G171" t="s">
        <v>16</v>
      </c>
      <c r="H171">
        <v>90</v>
      </c>
      <c r="I171">
        <v>30</v>
      </c>
      <c r="J171" t="s">
        <v>20</v>
      </c>
    </row>
    <row r="172" spans="1:10" x14ac:dyDescent="0.2">
      <c r="A172" t="s">
        <v>10</v>
      </c>
      <c r="B172" t="s">
        <v>11</v>
      </c>
      <c r="C172">
        <v>1</v>
      </c>
      <c r="D172">
        <v>5</v>
      </c>
      <c r="E172">
        <v>13.932200999999999</v>
      </c>
      <c r="F172">
        <v>0.73323400000000005</v>
      </c>
      <c r="G172" t="s">
        <v>12</v>
      </c>
      <c r="H172">
        <v>90</v>
      </c>
      <c r="I172">
        <v>30</v>
      </c>
      <c r="J172" t="s">
        <v>21</v>
      </c>
    </row>
    <row r="173" spans="1:10" x14ac:dyDescent="0.2">
      <c r="A173" t="s">
        <v>14</v>
      </c>
      <c r="B173" t="s">
        <v>11</v>
      </c>
      <c r="C173">
        <v>1</v>
      </c>
      <c r="D173">
        <v>5</v>
      </c>
      <c r="E173">
        <v>20</v>
      </c>
      <c r="F173" t="s">
        <v>15</v>
      </c>
      <c r="G173" t="s">
        <v>16</v>
      </c>
      <c r="H173">
        <v>90</v>
      </c>
      <c r="I173">
        <v>30</v>
      </c>
      <c r="J173" t="s">
        <v>21</v>
      </c>
    </row>
    <row r="174" spans="1:10" x14ac:dyDescent="0.2">
      <c r="A174" t="s">
        <v>17</v>
      </c>
      <c r="B174" t="s">
        <v>11</v>
      </c>
      <c r="C174">
        <v>1</v>
      </c>
      <c r="D174">
        <v>5</v>
      </c>
      <c r="E174">
        <v>20</v>
      </c>
      <c r="F174" t="s">
        <v>15</v>
      </c>
      <c r="G174" t="s">
        <v>16</v>
      </c>
      <c r="H174">
        <v>90</v>
      </c>
      <c r="I174">
        <v>30</v>
      </c>
      <c r="J174" t="s">
        <v>21</v>
      </c>
    </row>
    <row r="175" spans="1:10" x14ac:dyDescent="0.2">
      <c r="A175" t="s">
        <v>18</v>
      </c>
      <c r="B175" t="s">
        <v>11</v>
      </c>
      <c r="C175">
        <v>1</v>
      </c>
      <c r="D175">
        <v>5</v>
      </c>
      <c r="E175">
        <v>98690</v>
      </c>
      <c r="F175" t="s">
        <v>15</v>
      </c>
      <c r="G175" t="s">
        <v>16</v>
      </c>
      <c r="H175">
        <v>90</v>
      </c>
      <c r="I175">
        <v>30</v>
      </c>
      <c r="J175" t="s">
        <v>21</v>
      </c>
    </row>
    <row r="176" spans="1:10" x14ac:dyDescent="0.2">
      <c r="A176" t="s">
        <v>19</v>
      </c>
      <c r="B176" t="s">
        <v>11</v>
      </c>
      <c r="C176">
        <v>1</v>
      </c>
      <c r="D176">
        <v>5</v>
      </c>
      <c r="E176">
        <v>23505</v>
      </c>
      <c r="F176" t="s">
        <v>15</v>
      </c>
      <c r="G176" t="s">
        <v>16</v>
      </c>
      <c r="H176">
        <v>90</v>
      </c>
      <c r="I176">
        <v>30</v>
      </c>
      <c r="J176" t="s">
        <v>21</v>
      </c>
    </row>
    <row r="177" spans="1:10" x14ac:dyDescent="0.2">
      <c r="A177" t="s">
        <v>10</v>
      </c>
      <c r="B177" t="s">
        <v>11</v>
      </c>
      <c r="C177">
        <v>1</v>
      </c>
      <c r="D177">
        <v>5</v>
      </c>
      <c r="E177">
        <v>19.699795000000002</v>
      </c>
      <c r="F177">
        <v>1.1464970000000001</v>
      </c>
      <c r="G177" t="s">
        <v>12</v>
      </c>
      <c r="H177">
        <v>90</v>
      </c>
      <c r="I177">
        <v>30</v>
      </c>
      <c r="J177" t="s">
        <v>22</v>
      </c>
    </row>
    <row r="178" spans="1:10" x14ac:dyDescent="0.2">
      <c r="A178" t="s">
        <v>14</v>
      </c>
      <c r="B178" t="s">
        <v>11</v>
      </c>
      <c r="C178">
        <v>1</v>
      </c>
      <c r="D178">
        <v>5</v>
      </c>
      <c r="E178">
        <v>20</v>
      </c>
      <c r="F178" t="s">
        <v>15</v>
      </c>
      <c r="G178" t="s">
        <v>16</v>
      </c>
      <c r="H178">
        <v>90</v>
      </c>
      <c r="I178">
        <v>30</v>
      </c>
      <c r="J178" t="s">
        <v>22</v>
      </c>
    </row>
    <row r="179" spans="1:10" x14ac:dyDescent="0.2">
      <c r="A179" t="s">
        <v>17</v>
      </c>
      <c r="B179" t="s">
        <v>11</v>
      </c>
      <c r="C179">
        <v>1</v>
      </c>
      <c r="D179">
        <v>5</v>
      </c>
      <c r="E179">
        <v>20</v>
      </c>
      <c r="F179" t="s">
        <v>15</v>
      </c>
      <c r="G179" t="s">
        <v>16</v>
      </c>
      <c r="H179">
        <v>90</v>
      </c>
      <c r="I179">
        <v>30</v>
      </c>
      <c r="J179" t="s">
        <v>22</v>
      </c>
    </row>
    <row r="180" spans="1:10" x14ac:dyDescent="0.2">
      <c r="A180" t="s">
        <v>18</v>
      </c>
      <c r="B180" t="s">
        <v>11</v>
      </c>
      <c r="C180">
        <v>1</v>
      </c>
      <c r="D180">
        <v>5</v>
      </c>
      <c r="E180">
        <v>98690</v>
      </c>
      <c r="F180" t="s">
        <v>15</v>
      </c>
      <c r="G180" t="s">
        <v>16</v>
      </c>
      <c r="H180">
        <v>90</v>
      </c>
      <c r="I180">
        <v>30</v>
      </c>
      <c r="J180" t="s">
        <v>22</v>
      </c>
    </row>
    <row r="181" spans="1:10" x14ac:dyDescent="0.2">
      <c r="A181" t="s">
        <v>19</v>
      </c>
      <c r="B181" t="s">
        <v>11</v>
      </c>
      <c r="C181">
        <v>1</v>
      </c>
      <c r="D181">
        <v>5</v>
      </c>
      <c r="E181">
        <v>34695</v>
      </c>
      <c r="F181" t="s">
        <v>15</v>
      </c>
      <c r="G181" t="s">
        <v>16</v>
      </c>
      <c r="H181">
        <v>90</v>
      </c>
      <c r="I181">
        <v>30</v>
      </c>
      <c r="J181" t="s">
        <v>22</v>
      </c>
    </row>
    <row r="182" spans="1:10" x14ac:dyDescent="0.2">
      <c r="A182" t="s">
        <v>10</v>
      </c>
      <c r="B182" t="s">
        <v>11</v>
      </c>
      <c r="C182">
        <v>1</v>
      </c>
      <c r="D182">
        <v>5</v>
      </c>
      <c r="E182">
        <v>30.372959000000002</v>
      </c>
      <c r="F182">
        <v>0.773142</v>
      </c>
      <c r="G182" t="s">
        <v>12</v>
      </c>
      <c r="H182">
        <v>90</v>
      </c>
      <c r="I182">
        <v>30</v>
      </c>
      <c r="J182" t="s">
        <v>23</v>
      </c>
    </row>
    <row r="183" spans="1:10" x14ac:dyDescent="0.2">
      <c r="A183" t="s">
        <v>14</v>
      </c>
      <c r="B183" t="s">
        <v>11</v>
      </c>
      <c r="C183">
        <v>1</v>
      </c>
      <c r="D183">
        <v>5</v>
      </c>
      <c r="E183">
        <v>20</v>
      </c>
      <c r="F183" t="s">
        <v>15</v>
      </c>
      <c r="G183" t="s">
        <v>16</v>
      </c>
      <c r="H183">
        <v>90</v>
      </c>
      <c r="I183">
        <v>30</v>
      </c>
      <c r="J183" t="s">
        <v>23</v>
      </c>
    </row>
    <row r="184" spans="1:10" x14ac:dyDescent="0.2">
      <c r="A184" t="s">
        <v>17</v>
      </c>
      <c r="B184" t="s">
        <v>11</v>
      </c>
      <c r="C184">
        <v>1</v>
      </c>
      <c r="D184">
        <v>5</v>
      </c>
      <c r="E184">
        <v>20</v>
      </c>
      <c r="F184" t="s">
        <v>15</v>
      </c>
      <c r="G184" t="s">
        <v>16</v>
      </c>
      <c r="H184">
        <v>90</v>
      </c>
      <c r="I184">
        <v>30</v>
      </c>
      <c r="J184" t="s">
        <v>23</v>
      </c>
    </row>
    <row r="185" spans="1:10" x14ac:dyDescent="0.2">
      <c r="A185" t="s">
        <v>18</v>
      </c>
      <c r="B185" t="s">
        <v>11</v>
      </c>
      <c r="C185">
        <v>1</v>
      </c>
      <c r="D185">
        <v>5</v>
      </c>
      <c r="E185">
        <v>98690</v>
      </c>
      <c r="F185" t="s">
        <v>15</v>
      </c>
      <c r="G185" t="s">
        <v>16</v>
      </c>
      <c r="H185">
        <v>90</v>
      </c>
      <c r="I185">
        <v>30</v>
      </c>
      <c r="J185" t="s">
        <v>23</v>
      </c>
    </row>
    <row r="186" spans="1:10" x14ac:dyDescent="0.2">
      <c r="A186" t="s">
        <v>19</v>
      </c>
      <c r="B186" t="s">
        <v>11</v>
      </c>
      <c r="C186">
        <v>1</v>
      </c>
      <c r="D186">
        <v>5</v>
      </c>
      <c r="E186">
        <v>52795</v>
      </c>
      <c r="F186" t="s">
        <v>15</v>
      </c>
      <c r="G186" t="s">
        <v>16</v>
      </c>
      <c r="H186">
        <v>90</v>
      </c>
      <c r="I186">
        <v>30</v>
      </c>
      <c r="J186" t="s">
        <v>23</v>
      </c>
    </row>
    <row r="187" spans="1:10" x14ac:dyDescent="0.2">
      <c r="A187" t="s">
        <v>10</v>
      </c>
      <c r="B187" t="s">
        <v>11</v>
      </c>
      <c r="C187">
        <v>1</v>
      </c>
      <c r="D187">
        <v>5</v>
      </c>
      <c r="E187">
        <v>56.518675000000002</v>
      </c>
      <c r="F187">
        <v>4.1240319999999997</v>
      </c>
      <c r="G187" t="s">
        <v>12</v>
      </c>
      <c r="H187">
        <v>90</v>
      </c>
      <c r="I187">
        <v>30</v>
      </c>
      <c r="J187" t="s">
        <v>24</v>
      </c>
    </row>
    <row r="188" spans="1:10" x14ac:dyDescent="0.2">
      <c r="A188" t="s">
        <v>14</v>
      </c>
      <c r="B188" t="s">
        <v>11</v>
      </c>
      <c r="C188">
        <v>1</v>
      </c>
      <c r="D188">
        <v>5</v>
      </c>
      <c r="E188">
        <v>20</v>
      </c>
      <c r="F188" t="s">
        <v>15</v>
      </c>
      <c r="G188" t="s">
        <v>16</v>
      </c>
      <c r="H188">
        <v>90</v>
      </c>
      <c r="I188">
        <v>30</v>
      </c>
      <c r="J188" t="s">
        <v>24</v>
      </c>
    </row>
    <row r="189" spans="1:10" x14ac:dyDescent="0.2">
      <c r="A189" t="s">
        <v>17</v>
      </c>
      <c r="B189" t="s">
        <v>11</v>
      </c>
      <c r="C189">
        <v>1</v>
      </c>
      <c r="D189">
        <v>5</v>
      </c>
      <c r="E189">
        <v>20</v>
      </c>
      <c r="F189" t="s">
        <v>15</v>
      </c>
      <c r="G189" t="s">
        <v>16</v>
      </c>
      <c r="H189">
        <v>90</v>
      </c>
      <c r="I189">
        <v>30</v>
      </c>
      <c r="J189" t="s">
        <v>24</v>
      </c>
    </row>
    <row r="190" spans="1:10" x14ac:dyDescent="0.2">
      <c r="A190" t="s">
        <v>18</v>
      </c>
      <c r="B190" t="s">
        <v>11</v>
      </c>
      <c r="C190">
        <v>1</v>
      </c>
      <c r="D190">
        <v>5</v>
      </c>
      <c r="E190">
        <v>98690</v>
      </c>
      <c r="F190" t="s">
        <v>15</v>
      </c>
      <c r="G190" t="s">
        <v>16</v>
      </c>
      <c r="H190">
        <v>90</v>
      </c>
      <c r="I190">
        <v>30</v>
      </c>
      <c r="J190" t="s">
        <v>24</v>
      </c>
    </row>
    <row r="191" spans="1:10" x14ac:dyDescent="0.2">
      <c r="A191" t="s">
        <v>19</v>
      </c>
      <c r="B191" t="s">
        <v>11</v>
      </c>
      <c r="C191">
        <v>1</v>
      </c>
      <c r="D191">
        <v>5</v>
      </c>
      <c r="E191">
        <v>98665</v>
      </c>
      <c r="F191" t="s">
        <v>15</v>
      </c>
      <c r="G191" t="s">
        <v>16</v>
      </c>
      <c r="H191">
        <v>90</v>
      </c>
      <c r="I191">
        <v>30</v>
      </c>
      <c r="J191" t="s">
        <v>24</v>
      </c>
    </row>
    <row r="192" spans="1:10" x14ac:dyDescent="0.2">
      <c r="A192" t="s">
        <v>10</v>
      </c>
      <c r="B192" t="s">
        <v>11</v>
      </c>
      <c r="C192">
        <v>1</v>
      </c>
      <c r="D192">
        <v>5</v>
      </c>
      <c r="E192">
        <v>6.0759999999999998E-3</v>
      </c>
      <c r="F192">
        <v>3.9199999999999999E-4</v>
      </c>
      <c r="G192" t="s">
        <v>12</v>
      </c>
      <c r="H192">
        <v>90</v>
      </c>
      <c r="I192">
        <v>30</v>
      </c>
      <c r="J192" t="s">
        <v>25</v>
      </c>
    </row>
    <row r="193" spans="1:10" x14ac:dyDescent="0.2">
      <c r="A193" t="s">
        <v>14</v>
      </c>
      <c r="B193" t="s">
        <v>11</v>
      </c>
      <c r="C193">
        <v>1</v>
      </c>
      <c r="D193">
        <v>5</v>
      </c>
      <c r="E193">
        <v>20</v>
      </c>
      <c r="F193" t="s">
        <v>15</v>
      </c>
      <c r="G193" t="s">
        <v>16</v>
      </c>
      <c r="H193">
        <v>90</v>
      </c>
      <c r="I193">
        <v>30</v>
      </c>
      <c r="J193" t="s">
        <v>25</v>
      </c>
    </row>
    <row r="194" spans="1:10" x14ac:dyDescent="0.2">
      <c r="A194" t="s">
        <v>17</v>
      </c>
      <c r="B194" t="s">
        <v>11</v>
      </c>
      <c r="C194">
        <v>1</v>
      </c>
      <c r="D194">
        <v>5</v>
      </c>
      <c r="E194">
        <v>20</v>
      </c>
      <c r="F194" t="s">
        <v>15</v>
      </c>
      <c r="G194" t="s">
        <v>16</v>
      </c>
      <c r="H194">
        <v>90</v>
      </c>
      <c r="I194">
        <v>30</v>
      </c>
      <c r="J194" t="s">
        <v>25</v>
      </c>
    </row>
    <row r="195" spans="1:10" x14ac:dyDescent="0.2">
      <c r="A195" t="s">
        <v>18</v>
      </c>
      <c r="B195" t="s">
        <v>11</v>
      </c>
      <c r="C195">
        <v>1</v>
      </c>
      <c r="D195">
        <v>5</v>
      </c>
      <c r="E195">
        <v>98690</v>
      </c>
      <c r="F195" t="s">
        <v>15</v>
      </c>
      <c r="G195" t="s">
        <v>16</v>
      </c>
      <c r="H195">
        <v>90</v>
      </c>
      <c r="I195">
        <v>30</v>
      </c>
      <c r="J195" t="s">
        <v>25</v>
      </c>
    </row>
    <row r="196" spans="1:10" x14ac:dyDescent="0.2">
      <c r="A196" t="s">
        <v>19</v>
      </c>
      <c r="B196" t="s">
        <v>11</v>
      </c>
      <c r="C196">
        <v>1</v>
      </c>
      <c r="D196">
        <v>5</v>
      </c>
      <c r="E196">
        <v>120</v>
      </c>
      <c r="F196" t="s">
        <v>15</v>
      </c>
      <c r="G196" t="s">
        <v>16</v>
      </c>
      <c r="H196">
        <v>90</v>
      </c>
      <c r="I196">
        <v>30</v>
      </c>
      <c r="J196" t="s">
        <v>25</v>
      </c>
    </row>
    <row r="197" spans="1:10" x14ac:dyDescent="0.2">
      <c r="A197" t="s">
        <v>10</v>
      </c>
      <c r="B197" t="s">
        <v>11</v>
      </c>
      <c r="C197">
        <v>1</v>
      </c>
      <c r="D197">
        <v>5</v>
      </c>
      <c r="E197">
        <v>2.33901</v>
      </c>
      <c r="F197">
        <v>0.519208</v>
      </c>
      <c r="G197" t="s">
        <v>12</v>
      </c>
      <c r="H197">
        <v>90</v>
      </c>
      <c r="I197">
        <v>30</v>
      </c>
      <c r="J197" t="s">
        <v>26</v>
      </c>
    </row>
    <row r="198" spans="1:10" x14ac:dyDescent="0.2">
      <c r="A198" t="s">
        <v>14</v>
      </c>
      <c r="B198" t="s">
        <v>11</v>
      </c>
      <c r="C198">
        <v>1</v>
      </c>
      <c r="D198">
        <v>5</v>
      </c>
      <c r="E198">
        <v>20</v>
      </c>
      <c r="F198" t="s">
        <v>15</v>
      </c>
      <c r="G198" t="s">
        <v>16</v>
      </c>
      <c r="H198">
        <v>90</v>
      </c>
      <c r="I198">
        <v>30</v>
      </c>
      <c r="J198" t="s">
        <v>26</v>
      </c>
    </row>
    <row r="199" spans="1:10" x14ac:dyDescent="0.2">
      <c r="A199" t="s">
        <v>17</v>
      </c>
      <c r="B199" t="s">
        <v>11</v>
      </c>
      <c r="C199">
        <v>1</v>
      </c>
      <c r="D199">
        <v>5</v>
      </c>
      <c r="E199">
        <v>20</v>
      </c>
      <c r="F199" t="s">
        <v>15</v>
      </c>
      <c r="G199" t="s">
        <v>16</v>
      </c>
      <c r="H199">
        <v>90</v>
      </c>
      <c r="I199">
        <v>30</v>
      </c>
      <c r="J199" t="s">
        <v>26</v>
      </c>
    </row>
    <row r="200" spans="1:10" x14ac:dyDescent="0.2">
      <c r="A200" t="s">
        <v>18</v>
      </c>
      <c r="B200" t="s">
        <v>11</v>
      </c>
      <c r="C200">
        <v>1</v>
      </c>
      <c r="D200">
        <v>5</v>
      </c>
      <c r="E200">
        <v>98690</v>
      </c>
      <c r="F200" t="s">
        <v>15</v>
      </c>
      <c r="G200" t="s">
        <v>16</v>
      </c>
      <c r="H200">
        <v>90</v>
      </c>
      <c r="I200">
        <v>30</v>
      </c>
      <c r="J200" t="s">
        <v>26</v>
      </c>
    </row>
    <row r="201" spans="1:10" x14ac:dyDescent="0.2">
      <c r="A201" t="s">
        <v>19</v>
      </c>
      <c r="B201" t="s">
        <v>11</v>
      </c>
      <c r="C201">
        <v>1</v>
      </c>
      <c r="D201">
        <v>5</v>
      </c>
      <c r="E201">
        <v>5185</v>
      </c>
      <c r="F201" t="s">
        <v>15</v>
      </c>
      <c r="G201" t="s">
        <v>16</v>
      </c>
      <c r="H201">
        <v>90</v>
      </c>
      <c r="I201">
        <v>30</v>
      </c>
      <c r="J201" t="s">
        <v>26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E78C-E6B3-DD4B-BAFD-12CF49088AFB}">
  <dimension ref="A1:F9"/>
  <sheetViews>
    <sheetView workbookViewId="0">
      <selection activeCell="A2" sqref="A2:A9"/>
    </sheetView>
  </sheetViews>
  <sheetFormatPr baseColWidth="10" defaultRowHeight="16" x14ac:dyDescent="0.2"/>
  <cols>
    <col min="1" max="1" width="31.6640625" customWidth="1"/>
  </cols>
  <sheetData>
    <row r="1" spans="1:6" x14ac:dyDescent="0.2">
      <c r="A1" s="1" t="s">
        <v>27</v>
      </c>
      <c r="B1" s="1">
        <v>15</v>
      </c>
      <c r="C1" s="1">
        <v>30</v>
      </c>
      <c r="D1" s="1">
        <v>45</v>
      </c>
      <c r="E1" s="1">
        <v>60</v>
      </c>
      <c r="F1" s="1">
        <v>90</v>
      </c>
    </row>
    <row r="2" spans="1:6" x14ac:dyDescent="0.2">
      <c r="A2" t="s">
        <v>13</v>
      </c>
      <c r="B2">
        <f>'tree-scaling-viewport-w-specs_d'!E6/'tree-scaling-viewport-w-specs_d'!E5</f>
        <v>5.6723213407855032E-4</v>
      </c>
      <c r="C2">
        <f>'tree-scaling-viewport-w-specs_d'!E46/'tree-scaling-viewport-w-specs_d'!E45</f>
        <v>7.7281023398063041E-4</v>
      </c>
      <c r="D2">
        <f>'tree-scaling-viewport-w-specs_d'!E86/'tree-scaling-viewport-w-specs_d'!E85</f>
        <v>1.1390386513782367E-3</v>
      </c>
      <c r="E2">
        <f>'tree-scaling-viewport-w-specs_d'!E126/'tree-scaling-viewport-w-specs_d'!E125</f>
        <v>1.043525095095432E-3</v>
      </c>
      <c r="F2">
        <f>'tree-scaling-viewport-w-specs_d'!E166/'tree-scaling-viewport-w-specs_d'!E165</f>
        <v>1.5705745262944574E-3</v>
      </c>
    </row>
    <row r="3" spans="1:6" x14ac:dyDescent="0.2">
      <c r="A3" t="s">
        <v>20</v>
      </c>
      <c r="B3">
        <f>'tree-scaling-viewport-w-specs_d'!E11/'tree-scaling-viewport-w-specs_d'!E10</f>
        <v>6.9013242979556952E-2</v>
      </c>
      <c r="C3">
        <f>'tree-scaling-viewport-w-specs_d'!E51/'tree-scaling-viewport-w-specs_d'!E50</f>
        <v>6.9355607807027639E-2</v>
      </c>
      <c r="D3">
        <f>'tree-scaling-viewport-w-specs_d'!E91/'tree-scaling-viewport-w-specs_d'!E90</f>
        <v>7.1911306857012677E-2</v>
      </c>
      <c r="E3">
        <f>'tree-scaling-viewport-w-specs_d'!E131/'tree-scaling-viewport-w-specs_d'!E130</f>
        <v>7.2676473558420579E-2</v>
      </c>
      <c r="F3">
        <f>'tree-scaling-viewport-w-specs_d'!E171/'tree-scaling-viewport-w-specs_d'!E170</f>
        <v>7.7312797649204582E-2</v>
      </c>
    </row>
    <row r="4" spans="1:6" x14ac:dyDescent="0.2">
      <c r="A4" t="s">
        <v>21</v>
      </c>
      <c r="B4">
        <f>'tree-scaling-viewport-w-specs_d'!E16/'tree-scaling-viewport-w-specs_d'!E15</f>
        <v>0.23127188570650653</v>
      </c>
      <c r="C4">
        <f>'tree-scaling-viewport-w-specs_d'!E56/'tree-scaling-viewport-w-specs_d'!E55</f>
        <v>0.23501652498479045</v>
      </c>
      <c r="D4">
        <f>'tree-scaling-viewport-w-specs_d'!E96/'tree-scaling-viewport-w-specs_d'!E95</f>
        <v>0.23474321006403928</v>
      </c>
      <c r="E4">
        <f>'tree-scaling-viewport-w-specs_d'!E136/'tree-scaling-viewport-w-specs_d'!E135</f>
        <v>0.23957316457400613</v>
      </c>
      <c r="F4">
        <f>'tree-scaling-viewport-w-specs_d'!E176/'tree-scaling-viewport-w-specs_d'!E175</f>
        <v>0.23817002735839499</v>
      </c>
    </row>
    <row r="5" spans="1:6" x14ac:dyDescent="0.2">
      <c r="A5" t="s">
        <v>22</v>
      </c>
      <c r="B5">
        <f>'tree-scaling-viewport-w-specs_d'!E21/'tree-scaling-viewport-w-specs_d'!E20</f>
        <v>0.34542168036847398</v>
      </c>
      <c r="C5">
        <f>'tree-scaling-viewport-w-specs_d'!E61/'tree-scaling-viewport-w-specs_d'!E60</f>
        <v>0.34993505105480377</v>
      </c>
      <c r="D5">
        <f>'tree-scaling-viewport-w-specs_d'!E101/'tree-scaling-viewport-w-specs_d'!E100</f>
        <v>0.35072265674437442</v>
      </c>
      <c r="E5">
        <f>'tree-scaling-viewport-w-specs_d'!E141/'tree-scaling-viewport-w-specs_d'!E140</f>
        <v>0.35180260544652775</v>
      </c>
      <c r="F5">
        <f>'tree-scaling-viewport-w-specs_d'!E181/'tree-scaling-viewport-w-specs_d'!E180</f>
        <v>0.35155537541797549</v>
      </c>
    </row>
    <row r="6" spans="1:6" x14ac:dyDescent="0.2">
      <c r="A6" t="s">
        <v>23</v>
      </c>
      <c r="B6">
        <f>'tree-scaling-viewport-w-specs_d'!E26/'tree-scaling-viewport-w-specs_d'!E25</f>
        <v>0.52419055974466988</v>
      </c>
      <c r="C6">
        <f>'tree-scaling-viewport-w-specs_d'!E66/'tree-scaling-viewport-w-specs_d'!E65</f>
        <v>0.5273854349935051</v>
      </c>
      <c r="D6">
        <f>'tree-scaling-viewport-w-specs_d'!E106/'tree-scaling-viewport-w-specs_d'!E105</f>
        <v>0.52823550256916496</v>
      </c>
      <c r="E6">
        <f>'tree-scaling-viewport-w-specs_d'!E146/'tree-scaling-viewport-w-specs_d'!E145</f>
        <v>0.53468879388696267</v>
      </c>
      <c r="F6">
        <f>'tree-scaling-viewport-w-specs_d'!E186/'tree-scaling-viewport-w-specs_d'!E185</f>
        <v>0.5349579491336508</v>
      </c>
    </row>
    <row r="7" spans="1:6" x14ac:dyDescent="0.2">
      <c r="A7" t="s">
        <v>24</v>
      </c>
      <c r="B7">
        <f>'tree-scaling-viewport-w-specs_d'!E31/'tree-scaling-viewport-w-specs_d'!E30</f>
        <v>0.999515961912253</v>
      </c>
      <c r="C7">
        <f>'tree-scaling-viewport-w-specs_d'!E71/'tree-scaling-viewport-w-specs_d'!E70</f>
        <v>0.9998849006034497</v>
      </c>
      <c r="D7">
        <f>'tree-scaling-viewport-w-specs_d'!E111/'tree-scaling-viewport-w-specs_d'!E110</f>
        <v>0.99989875211987744</v>
      </c>
      <c r="E7">
        <f>'tree-scaling-viewport-w-specs_d'!E151/'tree-scaling-viewport-w-specs_d'!E150</f>
        <v>0.99983168950079104</v>
      </c>
      <c r="F7">
        <f>'tree-scaling-viewport-w-specs_d'!E191/'tree-scaling-viewport-w-specs_d'!E190</f>
        <v>0.99974668152801704</v>
      </c>
    </row>
    <row r="8" spans="1:6" x14ac:dyDescent="0.2">
      <c r="A8" t="s">
        <v>25</v>
      </c>
      <c r="B8">
        <f>'tree-scaling-viewport-w-specs_d'!E36/'tree-scaling-viewport-w-specs_d'!E35</f>
        <v>4.2353332677865088E-4</v>
      </c>
      <c r="C8">
        <f>'tree-scaling-viewport-w-specs_d'!E76/'tree-scaling-viewport-w-specs_d'!E75</f>
        <v>4.4395481526546856E-4</v>
      </c>
      <c r="D8">
        <f>'tree-scaling-viewport-w-specs_d'!E116/'tree-scaling-viewport-w-specs_d'!E115</f>
        <v>8.0998304098007948E-4</v>
      </c>
      <c r="E8">
        <f>'tree-scaling-viewport-w-specs_d'!E156/'tree-scaling-viewport-w-specs_d'!E155</f>
        <v>1.1108492947790084E-3</v>
      </c>
      <c r="F8">
        <f>'tree-scaling-viewport-w-specs_d'!E196/'tree-scaling-viewport-w-specs_d'!E195</f>
        <v>1.2159286655182896E-3</v>
      </c>
    </row>
    <row r="9" spans="1:6" x14ac:dyDescent="0.2">
      <c r="A9" t="s">
        <v>26</v>
      </c>
      <c r="B9">
        <f>'tree-scaling-viewport-w-specs_d'!E41/'tree-scaling-viewport-w-specs_d'!E40</f>
        <v>4.812397425522421E-2</v>
      </c>
      <c r="C9">
        <f>'tree-scaling-viewport-w-specs_d'!E81/'tree-scaling-viewport-w-specs_d'!E80</f>
        <v>4.7667592942762717E-2</v>
      </c>
      <c r="D9">
        <f>'tree-scaling-viewport-w-specs_d'!E121/'tree-scaling-viewport-w-specs_d'!E120</f>
        <v>4.9282405649631711E-2</v>
      </c>
      <c r="E9">
        <f>'tree-scaling-viewport-w-specs_d'!E161/'tree-scaling-viewport-w-specs_d'!E160</f>
        <v>5.0998081260309018E-2</v>
      </c>
      <c r="F9">
        <f>'tree-scaling-viewport-w-specs_d'!E201/'tree-scaling-viewport-w-specs_d'!E200</f>
        <v>5.2538251089269426E-2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6BFF-3855-854A-AFB2-41C586F9721F}">
  <dimension ref="A1:I6"/>
  <sheetViews>
    <sheetView tabSelected="1" workbookViewId="0">
      <selection activeCell="J16" sqref="J16"/>
    </sheetView>
  </sheetViews>
  <sheetFormatPr baseColWidth="10" defaultRowHeight="16" x14ac:dyDescent="0.2"/>
  <sheetData>
    <row r="1" spans="1:9" x14ac:dyDescent="0.2">
      <c r="A1" s="1" t="s">
        <v>28</v>
      </c>
      <c r="B1" s="1" t="s">
        <v>13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">
      <c r="A2" s="2">
        <v>15</v>
      </c>
      <c r="B2">
        <f>'tree-scaling-viewport-w-specs_d'!E2</f>
        <v>3.4480000000000001E-3</v>
      </c>
      <c r="C2">
        <f>'tree-scaling-viewport-w-specs_d'!E7</f>
        <v>4.9604799999999996</v>
      </c>
      <c r="D2">
        <f>'tree-scaling-viewport-w-specs_d'!E12</f>
        <v>14.570232000000001</v>
      </c>
      <c r="E2">
        <f>'tree-scaling-viewport-w-specs_d'!E17</f>
        <v>20.507624</v>
      </c>
      <c r="F2">
        <f>'tree-scaling-viewport-w-specs_d'!E22</f>
        <v>32.478005000000003</v>
      </c>
      <c r="G2">
        <f>'tree-scaling-viewport-w-specs_d'!E27</f>
        <v>61.478993000000003</v>
      </c>
      <c r="H2">
        <f>'tree-scaling-viewport-w-specs_d'!E32</f>
        <v>3.0739999999999999E-3</v>
      </c>
      <c r="I2">
        <f>'tree-scaling-viewport-w-specs_d'!E37</f>
        <v>2.0978940000000001</v>
      </c>
    </row>
    <row r="3" spans="1:9" x14ac:dyDescent="0.2">
      <c r="A3" s="2">
        <v>30</v>
      </c>
      <c r="B3">
        <f>'tree-scaling-viewport-w-specs_d'!E42</f>
        <v>4.0419999999999996E-3</v>
      </c>
      <c r="C3">
        <f>'tree-scaling-viewport-w-specs_d'!E47</f>
        <v>3.3895230000000001</v>
      </c>
      <c r="D3">
        <f>'tree-scaling-viewport-w-specs_d'!E52</f>
        <v>13.448191</v>
      </c>
      <c r="E3">
        <f>'tree-scaling-viewport-w-specs_d'!E57</f>
        <v>19.439578999999998</v>
      </c>
      <c r="F3">
        <f>'tree-scaling-viewport-w-specs_d'!E62</f>
        <v>31.407342</v>
      </c>
      <c r="G3">
        <f>'tree-scaling-viewport-w-specs_d'!E67</f>
        <v>56.348973999999998</v>
      </c>
      <c r="H3">
        <f>'tree-scaling-viewport-w-specs_d'!E72</f>
        <v>2.7179999999999999E-3</v>
      </c>
      <c r="I3">
        <f>'tree-scaling-viewport-w-specs_d'!E77</f>
        <v>2.0980259999999999</v>
      </c>
    </row>
    <row r="4" spans="1:9" x14ac:dyDescent="0.2">
      <c r="A4" s="2">
        <v>45</v>
      </c>
      <c r="B4">
        <f>'tree-scaling-viewport-w-specs_d'!E82</f>
        <v>5.0509999999999999E-3</v>
      </c>
      <c r="C4">
        <f>'tree-scaling-viewport-w-specs_d'!E87</f>
        <v>3.650169</v>
      </c>
      <c r="D4">
        <f>'tree-scaling-viewport-w-specs_d'!E92</f>
        <v>14.163603</v>
      </c>
      <c r="E4">
        <f>'tree-scaling-viewport-w-specs_d'!E97</f>
        <v>20.180833</v>
      </c>
      <c r="F4">
        <f>'tree-scaling-viewport-w-specs_d'!E102</f>
        <v>30.482887999999999</v>
      </c>
      <c r="G4">
        <f>'tree-scaling-viewport-w-specs_d'!E107</f>
        <v>57.589694999999999</v>
      </c>
      <c r="H4">
        <f>'tree-scaling-viewport-w-specs_d'!E112</f>
        <v>4.921E-3</v>
      </c>
      <c r="I4">
        <f>'tree-scaling-viewport-w-specs_d'!E117</f>
        <v>2.2023269999999999</v>
      </c>
    </row>
    <row r="5" spans="1:9" x14ac:dyDescent="0.2">
      <c r="A5" s="2">
        <v>60</v>
      </c>
      <c r="B5">
        <f>'tree-scaling-viewport-w-specs_d'!E122</f>
        <v>6.6059999999999999E-3</v>
      </c>
      <c r="C5">
        <f>'tree-scaling-viewport-w-specs_d'!E127</f>
        <v>3.6874129999999998</v>
      </c>
      <c r="D5">
        <f>'tree-scaling-viewport-w-specs_d'!E132</f>
        <v>13.816407</v>
      </c>
      <c r="E5">
        <f>'tree-scaling-viewport-w-specs_d'!E137</f>
        <v>19.924925000000002</v>
      </c>
      <c r="F5">
        <f>'tree-scaling-viewport-w-specs_d'!E142</f>
        <v>31.543392999999998</v>
      </c>
      <c r="G5">
        <f>'tree-scaling-viewport-w-specs_d'!E147</f>
        <v>56.195179000000003</v>
      </c>
      <c r="H5">
        <f>'tree-scaling-viewport-w-specs_d'!E152</f>
        <v>6.7780000000000002E-3</v>
      </c>
      <c r="I5">
        <f>'tree-scaling-viewport-w-specs_d'!E157</f>
        <v>2.256589</v>
      </c>
    </row>
    <row r="6" spans="1:9" x14ac:dyDescent="0.2">
      <c r="A6" s="2">
        <v>90</v>
      </c>
      <c r="B6">
        <f>'tree-scaling-viewport-w-specs_d'!E162</f>
        <v>6.5469999999999999E-3</v>
      </c>
      <c r="C6">
        <f>'tree-scaling-viewport-w-specs_d'!E167</f>
        <v>3.9054280000000001</v>
      </c>
      <c r="D6">
        <f>'tree-scaling-viewport-w-specs_d'!E172</f>
        <v>13.932200999999999</v>
      </c>
      <c r="E6">
        <f>'tree-scaling-viewport-w-specs_d'!E177</f>
        <v>19.699795000000002</v>
      </c>
      <c r="F6">
        <f>'tree-scaling-viewport-w-specs_d'!E182</f>
        <v>30.372959000000002</v>
      </c>
      <c r="G6">
        <f>'tree-scaling-viewport-w-specs_d'!E187</f>
        <v>56.518675000000002</v>
      </c>
      <c r="H6">
        <f>'tree-scaling-viewport-w-specs_d'!E192</f>
        <v>6.0759999999999998E-3</v>
      </c>
      <c r="I6">
        <f>'tree-scaling-viewport-w-specs_d'!E197</f>
        <v>2.33901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tree-scaling-viewport-w-specs_d</vt:lpstr>
      <vt:lpstr>total-nodes_visited-nodes_ratio</vt:lpstr>
      <vt:lpstr>query-speed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2026-05-22T13:00:06Z</dcterms:created>
  <dcterms:modified xsi:type="dcterms:W3CDTF">2026-05-22T13:20:54Z</dcterms:modified>
</cp:coreProperties>
</file>